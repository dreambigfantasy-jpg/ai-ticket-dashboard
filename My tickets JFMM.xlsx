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mit Adhikary\Desktop\Gokwik\"/>
    </mc:Choice>
  </mc:AlternateContent>
  <xr:revisionPtr revIDLastSave="0" documentId="13_ncr:1_{085ED23D-B6C7-4DF7-8430-789AF545BAFD}" xr6:coauthVersionLast="47" xr6:coauthVersionMax="47" xr10:uidLastSave="{00000000-0000-0000-0000-000000000000}"/>
  <bookViews>
    <workbookView xWindow="-110" yWindow="-110" windowWidth="38620" windowHeight="21100" xr2:uid="{9FA2E950-5ED2-4D3A-A1B9-567B0F108F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2" i="1"/>
</calcChain>
</file>

<file path=xl/sharedStrings.xml><?xml version="1.0" encoding="utf-8"?>
<sst xmlns="http://schemas.openxmlformats.org/spreadsheetml/2006/main" count="9366" uniqueCount="1516">
  <si>
    <t>Ticket ID</t>
  </si>
  <si>
    <t>Subject</t>
  </si>
  <si>
    <t>Status</t>
  </si>
  <si>
    <t>Priority</t>
  </si>
  <si>
    <t>Source</t>
  </si>
  <si>
    <t>Type</t>
  </si>
  <si>
    <t>Agent</t>
  </si>
  <si>
    <t>Group</t>
  </si>
  <si>
    <t>Created time</t>
  </si>
  <si>
    <t>Due by Time</t>
  </si>
  <si>
    <t>Resolved time</t>
  </si>
  <si>
    <t>Closed time</t>
  </si>
  <si>
    <t>Last update time</t>
  </si>
  <si>
    <t>Initial response time</t>
  </si>
  <si>
    <t>Time tracked</t>
  </si>
  <si>
    <t>First response time (in hrs)</t>
  </si>
  <si>
    <t>Resolution time (in hrs)</t>
  </si>
  <si>
    <t>Agent interactions</t>
  </si>
  <si>
    <t>Customer interactions</t>
  </si>
  <si>
    <t>Resolution status</t>
  </si>
  <si>
    <t>First response status</t>
  </si>
  <si>
    <t>Tags</t>
  </si>
  <si>
    <t>Survey results</t>
  </si>
  <si>
    <t>Association type</t>
  </si>
  <si>
    <t>Internal agent</t>
  </si>
  <si>
    <t>Internal group</t>
  </si>
  <si>
    <t>Every response status</t>
  </si>
  <si>
    <t>Product</t>
  </si>
  <si>
    <t>Customer Name</t>
  </si>
  <si>
    <t>CSM</t>
  </si>
  <si>
    <t>Merchant</t>
  </si>
  <si>
    <t>Brand Name</t>
  </si>
  <si>
    <t>Brand URL</t>
  </si>
  <si>
    <t>3rd Party Integration Type</t>
  </si>
  <si>
    <t>Technical Queries Type</t>
  </si>
  <si>
    <t>Theme Changes Type</t>
  </si>
  <si>
    <t>End Customer query For</t>
  </si>
  <si>
    <t>Store Setup Type</t>
  </si>
  <si>
    <t>Data Tracking query Type</t>
  </si>
  <si>
    <t>Routed to?</t>
  </si>
  <si>
    <t>Shopify App Query Type</t>
  </si>
  <si>
    <t>WooCommerce Sub Type</t>
  </si>
  <si>
    <t>Level</t>
  </si>
  <si>
    <t>New Merchant</t>
  </si>
  <si>
    <t>Who has Responded</t>
  </si>
  <si>
    <t>1st Survey Sent</t>
  </si>
  <si>
    <t>48 hours closure</t>
  </si>
  <si>
    <t>CSAT Received</t>
  </si>
  <si>
    <t>CSAT Rating</t>
  </si>
  <si>
    <t>2nd Survey sent</t>
  </si>
  <si>
    <t>3rd Survey Sent</t>
  </si>
  <si>
    <t>Auto closure</t>
  </si>
  <si>
    <t>24 hour WOM reminder</t>
  </si>
  <si>
    <t>Other Issue Type</t>
  </si>
  <si>
    <t>Closed&gt;2days</t>
  </si>
  <si>
    <t>Periskope Message ID</t>
  </si>
  <si>
    <t>Periskope Assignee</t>
  </si>
  <si>
    <t>Periskope Ticket ID</t>
  </si>
  <si>
    <t>Periskope Sender Phone</t>
  </si>
  <si>
    <t>Periskope Sender Name</t>
  </si>
  <si>
    <t>Priority sequence</t>
  </si>
  <si>
    <t>Ops 36 hours WOM Reminder</t>
  </si>
  <si>
    <t>Full name</t>
  </si>
  <si>
    <t>Contact ID</t>
  </si>
  <si>
    <t>Urgent: GoKwik Dashboard Show Blank Page " No Details Found in Gokwik"</t>
  </si>
  <si>
    <t>Closed</t>
  </si>
  <si>
    <t>Low</t>
  </si>
  <si>
    <t>Email</t>
  </si>
  <si>
    <t>Report an issue/bug</t>
  </si>
  <si>
    <t>Amit Adhikary</t>
  </si>
  <si>
    <t>Non Shopify Support</t>
  </si>
  <si>
    <t>2026-01-01 10:59:19</t>
  </si>
  <si>
    <t>2026-01-06 09:17:11</t>
  </si>
  <si>
    <t>2026-01-03 14:44:55</t>
  </si>
  <si>
    <t>2026-01-04 03:44:42</t>
  </si>
  <si>
    <t>2026-02-04 15:53:38</t>
  </si>
  <si>
    <t>2026-01-01 16:27:18</t>
  </si>
  <si>
    <t>00:00</t>
  </si>
  <si>
    <t>00:00:00</t>
  </si>
  <si>
    <t>17:44:55</t>
  </si>
  <si>
    <t>Within SLA</t>
  </si>
  <si>
    <t>closed&gt;2days</t>
  </si>
  <si>
    <t/>
  </si>
  <si>
    <t>No Agent</t>
  </si>
  <si>
    <t>No Group</t>
  </si>
  <si>
    <t>No Product</t>
  </si>
  <si>
    <t>fitnesstack.com</t>
  </si>
  <si>
    <t>Others</t>
  </si>
  <si>
    <t>L2</t>
  </si>
  <si>
    <t>fitnesstack</t>
  </si>
  <si>
    <t>false</t>
  </si>
  <si>
    <t>true</t>
  </si>
  <si>
    <t>sanjeev@fitnesstack. com</t>
  </si>
  <si>
    <t>sanjeev@fitnesstack.com</t>
  </si>
  <si>
    <t>Pending payment is not getting created</t>
  </si>
  <si>
    <t>Phone</t>
  </si>
  <si>
    <t>2026-01-03 17:05:18</t>
  </si>
  <si>
    <t>2026-01-08 15:41:40</t>
  </si>
  <si>
    <t>2026-01-05 15:47:13</t>
  </si>
  <si>
    <t>2026-01-06 05:44:52</t>
  </si>
  <si>
    <t>2026-02-04 15:56:48</t>
  </si>
  <si>
    <t>2026-01-03 17:08:01</t>
  </si>
  <si>
    <t>00:02:43</t>
  </si>
  <si>
    <t>22:41:55</t>
  </si>
  <si>
    <t>Cloak Couture</t>
  </si>
  <si>
    <t>cloakcouture.com</t>
  </si>
  <si>
    <t>Customer</t>
  </si>
  <si>
    <t>cloakcouture@gmail.com</t>
  </si>
  <si>
    <t>Order Issue &lt;&gt; Kilkaari</t>
  </si>
  <si>
    <t>Order Toubleshooting</t>
  </si>
  <si>
    <t>2026-01-05 09:06:36</t>
  </si>
  <si>
    <t>2026-01-10 07:36:36</t>
  </si>
  <si>
    <t>2026-01-07 07:44:54</t>
  </si>
  <si>
    <t>2026-01-07 19:45:01</t>
  </si>
  <si>
    <t>2026-01-08 19:44:55</t>
  </si>
  <si>
    <t>2026-01-05 09:14:54</t>
  </si>
  <si>
    <t>00:08:18</t>
  </si>
  <si>
    <t>23:53:24</t>
  </si>
  <si>
    <t>Deepesh Darji</t>
  </si>
  <si>
    <t>Kilkaari</t>
  </si>
  <si>
    <t>kilkaari.shop</t>
  </si>
  <si>
    <t>deepeshdarjii@gmail.com</t>
  </si>
  <si>
    <t>Re: Gonourishy - Welcome to GoKwik! You’re Now Live</t>
  </si>
  <si>
    <t>SPAM</t>
  </si>
  <si>
    <t>2026-01-05 10:07:27</t>
  </si>
  <si>
    <t>2026-01-08 10:07:27</t>
  </si>
  <si>
    <t>2026-01-05 10:14:26</t>
  </si>
  <si>
    <t>2026-01-06 11:49:57</t>
  </si>
  <si>
    <t>00:06:59</t>
  </si>
  <si>
    <t>NA</t>
  </si>
  <si>
    <t>L0</t>
  </si>
  <si>
    <t>Lincy James</t>
  </si>
  <si>
    <t>lincy.james@gokwik.co</t>
  </si>
  <si>
    <t>Sahil Gulati sent you a message in #general on Slack</t>
  </si>
  <si>
    <t>2026-01-05 12:08:52</t>
  </si>
  <si>
    <t>2026-01-08 12:08:52</t>
  </si>
  <si>
    <t>2026-01-05 13:11:55</t>
  </si>
  <si>
    <t>2026-01-06 12:45:01</t>
  </si>
  <si>
    <t>01:03:03</t>
  </si>
  <si>
    <t>Slack</t>
  </si>
  <si>
    <t>eb-t01mc3460bt-u0a1df4kykf-tdvjivst2tgoecoy3t5eokfxdi@slack-mail.com</t>
  </si>
  <si>
    <t>Great Outdoor - Welcome to GoKwik! You’re Now Live</t>
  </si>
  <si>
    <t>2026-01-05 13:27:43</t>
  </si>
  <si>
    <t>2026-01-08 13:27:43</t>
  </si>
  <si>
    <t>2026-01-05 13:31:47</t>
  </si>
  <si>
    <t>2026-01-06 12:45:04</t>
  </si>
  <si>
    <t>00:04:04</t>
  </si>
  <si>
    <t>Rahul Kumar</t>
  </si>
  <si>
    <t>rahul.kumar1@gokwik.co</t>
  </si>
  <si>
    <t>Kreative Chocolates - Welcome to GoKwik! You’re Now Live</t>
  </si>
  <si>
    <t>High</t>
  </si>
  <si>
    <t>2026-01-05 14:06:07</t>
  </si>
  <si>
    <t>2026-01-06 02:06:07</t>
  </si>
  <si>
    <t>2026-01-05 14:08:05</t>
  </si>
  <si>
    <t>2026-01-06 13:44:52</t>
  </si>
  <si>
    <t>00:01:58</t>
  </si>
  <si>
    <t>HIGH VALUE MERCHANT,closed&gt;2days</t>
  </si>
  <si>
    <t>Re: Ajanta Soya - Welcome to GoKwik! You’re Now Live</t>
  </si>
  <si>
    <t>Store Setup/Config Changes</t>
  </si>
  <si>
    <t>2026-01-05 17:06:50</t>
  </si>
  <si>
    <t>2026-01-08 17:06:50</t>
  </si>
  <si>
    <t>2026-01-05 17:25:20</t>
  </si>
  <si>
    <t>2026-01-06 15:44:55</t>
  </si>
  <si>
    <t>2026-01-07 15:49:07</t>
  </si>
  <si>
    <t>2026-01-05 17:09:06</t>
  </si>
  <si>
    <t>00:02:16</t>
  </si>
  <si>
    <t>00:18:30</t>
  </si>
  <si>
    <t>eduhivesolutions</t>
  </si>
  <si>
    <t>eduhivesolutions.com</t>
  </si>
  <si>
    <t>Internal Configuration</t>
  </si>
  <si>
    <t>Woo Support</t>
  </si>
  <si>
    <t>woosupport@gokwik.co</t>
  </si>
  <si>
    <t>Re: Samaaya Jaipur - Welcome to GoKwik! You’re Now Live</t>
  </si>
  <si>
    <t>2026-01-06 12:54:07</t>
  </si>
  <si>
    <t>2026-01-09 12:54:07</t>
  </si>
  <si>
    <t>2026-01-06 13:00:30</t>
  </si>
  <si>
    <t>2026-01-07 12:44:58</t>
  </si>
  <si>
    <t>00:06:23</t>
  </si>
  <si>
    <t>Re: The Label Gaia - Welcome to GoKwik! You’re Now Live.</t>
  </si>
  <si>
    <t>2026-01-07 09:54:19</t>
  </si>
  <si>
    <t>2026-01-10 16:34:52</t>
  </si>
  <si>
    <t>2026-01-07 17:56:58</t>
  </si>
  <si>
    <t>2026-01-08 17:45:00</t>
  </si>
  <si>
    <t>08:02:39</t>
  </si>
  <si>
    <t>Arvind Kaviya</t>
  </si>
  <si>
    <t>arvind@gokwik.co</t>
  </si>
  <si>
    <t>I have some issue with wordpress gokwik checkout related issue for the sms and email</t>
  </si>
  <si>
    <t>WooCommerce Related</t>
  </si>
  <si>
    <t>2026-01-07 10:23:32</t>
  </si>
  <si>
    <t>2026-01-10 14:56:11</t>
  </si>
  <si>
    <t>2026-01-07 15:42:34</t>
  </si>
  <si>
    <t>2026-01-14 13:34:26</t>
  </si>
  <si>
    <t>2026-01-07 11:00:55</t>
  </si>
  <si>
    <t>00:37:23</t>
  </si>
  <si>
    <t>05:19:02</t>
  </si>
  <si>
    <t>gramaahar.com</t>
  </si>
  <si>
    <t>Feature Request</t>
  </si>
  <si>
    <t>Gramaahar</t>
  </si>
  <si>
    <t>Jyoti Basediya</t>
  </si>
  <si>
    <t>jyotibasediya41@gmail.com</t>
  </si>
  <si>
    <t>Removal of checkout from woocommerce website</t>
  </si>
  <si>
    <t>2026-01-07 12:01:34</t>
  </si>
  <si>
    <t>2026-01-10 12:01:34</t>
  </si>
  <si>
    <t>2026-01-07 15:54:31</t>
  </si>
  <si>
    <t>2026-01-08 15:46:59</t>
  </si>
  <si>
    <t>2026-01-07 12:26:04</t>
  </si>
  <si>
    <t>00:24:30</t>
  </si>
  <si>
    <t>03:52:57</t>
  </si>
  <si>
    <t>rainbowshopping.in</t>
  </si>
  <si>
    <t>rainbowshopping</t>
  </si>
  <si>
    <t>Rakesh Negi</t>
  </si>
  <si>
    <t>aryaman.negi@gmail.com</t>
  </si>
  <si>
    <t>Order Number Mismatch &lt;&gt; Desert Bees Honey</t>
  </si>
  <si>
    <t>2026-01-08 12:25:28</t>
  </si>
  <si>
    <t>2026-01-13 11:28:12</t>
  </si>
  <si>
    <t>2026-01-10 11:44:53</t>
  </si>
  <si>
    <t>2026-01-11 00:44:46</t>
  </si>
  <si>
    <t>2026-01-08 12:42:26</t>
  </si>
  <si>
    <t>00:16:58</t>
  </si>
  <si>
    <t>23:19:25</t>
  </si>
  <si>
    <t>Merchant Care</t>
  </si>
  <si>
    <t>Arti</t>
  </si>
  <si>
    <t>Desert Bees Honey</t>
  </si>
  <si>
    <t>Bharatkumar Kerasiya</t>
  </si>
  <si>
    <t>info@desertbeeshoney.com</t>
  </si>
  <si>
    <t>Timb Store - Welcome to GoKwik! You’re Now Live</t>
  </si>
  <si>
    <t>2026-01-08 14:18:53</t>
  </si>
  <si>
    <t>2026-01-11 14:18:53</t>
  </si>
  <si>
    <t>2026-01-08 14:19:38</t>
  </si>
  <si>
    <t>2026-01-09 13:45:03</t>
  </si>
  <si>
    <t>00:00:45</t>
  </si>
  <si>
    <t>URGENT: Payment Methods Not Showing on Checkout – Orders Blocked</t>
  </si>
  <si>
    <t>2026-01-08 20:32:06</t>
  </si>
  <si>
    <t>2026-01-09 08:32:06</t>
  </si>
  <si>
    <t>2026-01-09 09:17:25</t>
  </si>
  <si>
    <t>2026-01-10 07:44:45</t>
  </si>
  <si>
    <t>2026-01-11 06:44:52</t>
  </si>
  <si>
    <t>2026-01-09 09:17:03</t>
  </si>
  <si>
    <t>00:44:57</t>
  </si>
  <si>
    <t>00:45:19</t>
  </si>
  <si>
    <t>SLA Violated</t>
  </si>
  <si>
    <t>priority upgrade,closed&gt;2days</t>
  </si>
  <si>
    <t>fashionjewellery21</t>
  </si>
  <si>
    <t>fashionjewellery21.com</t>
  </si>
  <si>
    <t>usha</t>
  </si>
  <si>
    <t>ujain021@gmail.com</t>
  </si>
  <si>
    <t>Order status issue</t>
  </si>
  <si>
    <t>2026-01-09 16:29:56</t>
  </si>
  <si>
    <t>2026-01-16 11:07:36</t>
  </si>
  <si>
    <t>2026-01-13 11:41:02</t>
  </si>
  <si>
    <t>2026-01-14 10:45:00</t>
  </si>
  <si>
    <t>2026-01-09 17:03:16</t>
  </si>
  <si>
    <t>00:33:20</t>
  </si>
  <si>
    <t>43:11:06</t>
  </si>
  <si>
    <t>Ajmal</t>
  </si>
  <si>
    <t>Nikshan</t>
  </si>
  <si>
    <t>webcoffee.in</t>
  </si>
  <si>
    <t>webcoffee</t>
  </si>
  <si>
    <t>ajmal@webcoffee. in</t>
  </si>
  <si>
    <t>ajmal@webcoffee.in</t>
  </si>
  <si>
    <t>Re: Urgent: Severe Checkout Issues Causing Order Cancellations &amp; 50% Drop in Orders</t>
  </si>
  <si>
    <t>2026-01-10 12:51:31</t>
  </si>
  <si>
    <t>2026-01-12 23:30:12</t>
  </si>
  <si>
    <t>2026-01-12 11:44:46</t>
  </si>
  <si>
    <t>2026-01-13 00:44:44</t>
  </si>
  <si>
    <t>2026-02-04 15:57:54</t>
  </si>
  <si>
    <t>2026-01-10 13:05:59</t>
  </si>
  <si>
    <t>00:14:28</t>
  </si>
  <si>
    <t>22:53:15</t>
  </si>
  <si>
    <t>Fwd: Urgent: Duplicate Orders Being Created After Plugin Update</t>
  </si>
  <si>
    <t>2026-01-10 17:52:11</t>
  </si>
  <si>
    <t>2026-01-15 10:13:31</t>
  </si>
  <si>
    <t>2026-01-12 19:27:07</t>
  </si>
  <si>
    <t>2026-01-13 18:44:59</t>
  </si>
  <si>
    <t>2026-01-10 18:57:26</t>
  </si>
  <si>
    <t>01:05:15</t>
  </si>
  <si>
    <t>25:34:56</t>
  </si>
  <si>
    <t>mybooksfactory</t>
  </si>
  <si>
    <t>mybooksfactory.com</t>
  </si>
  <si>
    <t>mybooksfactory@gmail. com</t>
  </si>
  <si>
    <t>mybooksfactory@gmail.com</t>
  </si>
  <si>
    <t>Gokwik Checkout Shipping Price Issue</t>
  </si>
  <si>
    <t>2026-01-12 02:29:37</t>
  </si>
  <si>
    <t>2026-01-16 17:12:37</t>
  </si>
  <si>
    <t>2026-01-13 18:03:36</t>
  </si>
  <si>
    <t>2026-01-14 23:26:35</t>
  </si>
  <si>
    <t>2026-01-12 09:09:21</t>
  </si>
  <si>
    <t>00:09:21</t>
  </si>
  <si>
    <t>21:03:36</t>
  </si>
  <si>
    <t>support@heybaeclub.com</t>
  </si>
  <si>
    <t>https://heybaeclub.com/</t>
  </si>
  <si>
    <t>Shipping Configuration</t>
  </si>
  <si>
    <t>L1</t>
  </si>
  <si>
    <t>Heybae Club</t>
  </si>
  <si>
    <t>support</t>
  </si>
  <si>
    <t>G4Girl - Welcome to GoKwik! You’re Now Live</t>
  </si>
  <si>
    <t>2026-01-12 12:45:12</t>
  </si>
  <si>
    <t>2026-01-15 12:45:12</t>
  </si>
  <si>
    <t>2026-01-12 14:04:54</t>
  </si>
  <si>
    <t>2026-01-13 13:44:57</t>
  </si>
  <si>
    <t>01:19:42</t>
  </si>
  <si>
    <t>Shriya Mahajan sent you a message in #chill-scenes on Slack</t>
  </si>
  <si>
    <t>2026-01-13 09:58:28</t>
  </si>
  <si>
    <t>2026-01-16 09:58:28</t>
  </si>
  <si>
    <t>2026-01-13 10:37:28</t>
  </si>
  <si>
    <t>2026-01-14 09:44:47</t>
  </si>
  <si>
    <t>00:39:00</t>
  </si>
  <si>
    <t>eb-t01mc3460bt-u0a1df4kykf-yk25ywgwy4ytcx77zcb22i4pre@slack-mail.com</t>
  </si>
  <si>
    <t>Clarification Needed: Payment Method for Order #2180 (Kay Kay)</t>
  </si>
  <si>
    <t>2026-01-13 12:26:03</t>
  </si>
  <si>
    <t>2026-01-18 10:38:07</t>
  </si>
  <si>
    <t>2026-01-15 10:44:57</t>
  </si>
  <si>
    <t>2026-01-15 23:44:53</t>
  </si>
  <si>
    <t>2026-01-16 23:44:46</t>
  </si>
  <si>
    <t>2026-01-13 12:32:58</t>
  </si>
  <si>
    <t>00:06:55</t>
  </si>
  <si>
    <t>22:18:54</t>
  </si>
  <si>
    <t>Shreya Tamra</t>
  </si>
  <si>
    <t>kaykaylabel</t>
  </si>
  <si>
    <t>kaykaylabel.com</t>
  </si>
  <si>
    <t>shreya@kaykaylabel.com</t>
  </si>
  <si>
    <t>kanika gupta sent you a message in #general on Slack</t>
  </si>
  <si>
    <t>2026-01-14 10:00:46</t>
  </si>
  <si>
    <t>2026-01-17 10:00:46</t>
  </si>
  <si>
    <t>2026-01-14 11:15:32</t>
  </si>
  <si>
    <t>2026-01-15 10:44:59</t>
  </si>
  <si>
    <t>01:14:46</t>
  </si>
  <si>
    <t>eb-t01mc3460bt-u0a1df4kykf-dgcy3xhddlrdrum6vwlwqpqdvy@slack-mail.com</t>
  </si>
  <si>
    <t>Server Migration &lt;&gt; God Of Supps</t>
  </si>
  <si>
    <t>2026-01-14 12:03:40</t>
  </si>
  <si>
    <t>2026-01-18 14:33:15</t>
  </si>
  <si>
    <t>2026-01-15 16:37:50</t>
  </si>
  <si>
    <t>2026-01-16 14:44:58</t>
  </si>
  <si>
    <t>2026-01-17 13:45:03</t>
  </si>
  <si>
    <t>2026-01-14 12:13:08</t>
  </si>
  <si>
    <t>00:09:28</t>
  </si>
  <si>
    <t>16:34:10</t>
  </si>
  <si>
    <t>godofsupps</t>
  </si>
  <si>
    <t>God Of Supps</t>
  </si>
  <si>
    <t>godofsupps.com</t>
  </si>
  <si>
    <t>custom development</t>
  </si>
  <si>
    <t>Prabh Singh</t>
  </si>
  <si>
    <t>prabh@kings.digital</t>
  </si>
  <si>
    <t>Shriya Mahajan sent you a message in #general on Slack</t>
  </si>
  <si>
    <t>2026-01-14 16:10:08</t>
  </si>
  <si>
    <t>2026-01-17 16:10:08</t>
  </si>
  <si>
    <t>2026-01-14 16:47:36</t>
  </si>
  <si>
    <t>2026-01-15 16:44:59</t>
  </si>
  <si>
    <t>00:37:28</t>
  </si>
  <si>
    <t>eb-t01mc3460bt-u0a1df4kykf-ex4exuaybam7kvfci46jbpwpse@slack-mail.com</t>
  </si>
  <si>
    <t>Facing Issue in Checkout System</t>
  </si>
  <si>
    <t>2026-01-19 12:36:49</t>
  </si>
  <si>
    <t>2026-01-25 14:00:03</t>
  </si>
  <si>
    <t>2026-01-22 14:44:58</t>
  </si>
  <si>
    <t>2026-01-23 04:44:48</t>
  </si>
  <si>
    <t>2026-01-24 04:44:52</t>
  </si>
  <si>
    <t>2026-01-19 12:44:20</t>
  </si>
  <si>
    <t>00:07:31</t>
  </si>
  <si>
    <t>38:08:09</t>
  </si>
  <si>
    <t>Vivek</t>
  </si>
  <si>
    <t>kazarmax</t>
  </si>
  <si>
    <t>www.kazarmax.com</t>
  </si>
  <si>
    <t>vivek ojha</t>
  </si>
  <si>
    <t>vivek.ojha@kazarmax.com</t>
  </si>
  <si>
    <t>Order Quantity issue-TCG Hub</t>
  </si>
  <si>
    <t>2026-01-19 13:17:48</t>
  </si>
  <si>
    <t>2026-01-25 12:28:50</t>
  </si>
  <si>
    <t>2026-01-19 13:54:09</t>
  </si>
  <si>
    <t>00:36:21</t>
  </si>
  <si>
    <t>37:27:10</t>
  </si>
  <si>
    <t>Aman</t>
  </si>
  <si>
    <t>TCG Hub</t>
  </si>
  <si>
    <t>https://tcghub.in/</t>
  </si>
  <si>
    <t>Product Sync issue</t>
  </si>
  <si>
    <t>Tcghubindia</t>
  </si>
  <si>
    <t>tcghubindia@gmail.com</t>
  </si>
  <si>
    <t>2026-01-20 10:33:54</t>
  </si>
  <si>
    <t>2026-02-01 05:14:27</t>
  </si>
  <si>
    <t>2026-01-31 13:44:59</t>
  </si>
  <si>
    <t>2026-02-01 02:44:42</t>
  </si>
  <si>
    <t>2026-02-02 01:44:53</t>
  </si>
  <si>
    <t>2026-01-20 10:37:43</t>
  </si>
  <si>
    <t>00:03:49</t>
  </si>
  <si>
    <t>135:11:05</t>
  </si>
  <si>
    <t>GKP-30890,closed&gt;2days</t>
  </si>
  <si>
    <t>Sumaiya</t>
  </si>
  <si>
    <t>cloakcouture</t>
  </si>
  <si>
    <t>Unable to Contact</t>
  </si>
  <si>
    <t>2026-01-20 14:12:08</t>
  </si>
  <si>
    <t>2026-01-25 10:30:48</t>
  </si>
  <si>
    <t>2026-01-22 10:55:21</t>
  </si>
  <si>
    <t>2026-01-23 09:45:04</t>
  </si>
  <si>
    <t>2026-01-24 09:45:00</t>
  </si>
  <si>
    <t>2026-01-20 14:27:56</t>
  </si>
  <si>
    <t>00:15:48</t>
  </si>
  <si>
    <t>20:43:13</t>
  </si>
  <si>
    <t>Sanjeev</t>
  </si>
  <si>
    <t>Incorrect Payment Made by Eternal Devalaya Customer</t>
  </si>
  <si>
    <t>2026-01-21 11:16:12</t>
  </si>
  <si>
    <t>2026-01-25 09:59:51</t>
  </si>
  <si>
    <t>2026-01-22 10:56:12</t>
  </si>
  <si>
    <t>2026-01-27 19:58:23</t>
  </si>
  <si>
    <t>2026-01-21 11:39:41</t>
  </si>
  <si>
    <t>00:23:29</t>
  </si>
  <si>
    <t>11:40:00</t>
  </si>
  <si>
    <t>Admin</t>
  </si>
  <si>
    <t>eternaldevalaya</t>
  </si>
  <si>
    <t>eternaldevalaya.com</t>
  </si>
  <si>
    <t>admin@eternaldevalaya. com</t>
  </si>
  <si>
    <t>admin@eternaldevalaya.com</t>
  </si>
  <si>
    <t>Garima Khareta sent you a message in #general on Slack</t>
  </si>
  <si>
    <t>2026-01-21 14:20:49</t>
  </si>
  <si>
    <t>2026-01-24 14:20:49</t>
  </si>
  <si>
    <t>2026-01-21 14:45:07</t>
  </si>
  <si>
    <t>2026-01-22 13:45:28</t>
  </si>
  <si>
    <t>00:24:18</t>
  </si>
  <si>
    <t>eb-t01mc3460bt-u0a1df4kykf-dva4om5rqbgmdd44n54nixg4pe@slack-mail.com</t>
  </si>
  <si>
    <t>help with account</t>
  </si>
  <si>
    <t>Technical code Queries</t>
  </si>
  <si>
    <t>2026-01-21 14:30:48</t>
  </si>
  <si>
    <t>2026-01-28 10:30:41</t>
  </si>
  <si>
    <t>2026-01-25 17:44:51</t>
  </si>
  <si>
    <t>2026-01-26 06:44:49</t>
  </si>
  <si>
    <t>2026-01-27 10:02:40</t>
  </si>
  <si>
    <t>2026-01-21 14:35:23</t>
  </si>
  <si>
    <t>00:04:35</t>
  </si>
  <si>
    <t>51:14:03</t>
  </si>
  <si>
    <t>milgroup</t>
  </si>
  <si>
    <t>milgroup.in</t>
  </si>
  <si>
    <t>Dashboard Analytics Related</t>
  </si>
  <si>
    <t>Ishita Goenka</t>
  </si>
  <si>
    <t>ishita@milgroup.in</t>
  </si>
  <si>
    <t>Request to Enable Inclusive Tax Pricing &amp; GST Mapping for WooCommerce Integration</t>
  </si>
  <si>
    <t>2026-01-22 12:00:25</t>
  </si>
  <si>
    <t>2026-01-27 10:31:35</t>
  </si>
  <si>
    <t>2026-01-24 10:44:55</t>
  </si>
  <si>
    <t>2026-01-24 22:45:06</t>
  </si>
  <si>
    <t>2026-01-25 22:44:55</t>
  </si>
  <si>
    <t>2026-01-22 12:12:42</t>
  </si>
  <si>
    <t>00:12:17</t>
  </si>
  <si>
    <t>22:44:30</t>
  </si>
  <si>
    <t>Ashwani</t>
  </si>
  <si>
    <t>beastxoutfit</t>
  </si>
  <si>
    <t>beastxoutfit.com</t>
  </si>
  <si>
    <t>MR ASHWANI</t>
  </si>
  <si>
    <t>iamashwanie@gmail.com</t>
  </si>
  <si>
    <t>Ananta Gaur sent you a message in #general on Slack</t>
  </si>
  <si>
    <t>2026-01-22 12:37:25</t>
  </si>
  <si>
    <t>2026-01-25 12:37:25</t>
  </si>
  <si>
    <t>2026-01-22 12:52:07</t>
  </si>
  <si>
    <t>2026-01-23 12:45:03</t>
  </si>
  <si>
    <t>00:14:42</t>
  </si>
  <si>
    <t>eb-t01mc3460bt-u0a1df4kykf-5qvuou2xjk2hfxtrnropu34bvm@slack-mail.com</t>
  </si>
  <si>
    <t>Mobiles Forest &lt;&gt; GoKwik | MS Handover!!</t>
  </si>
  <si>
    <t>2026-01-22 16:15:08</t>
  </si>
  <si>
    <t>2026-01-25 16:15:08</t>
  </si>
  <si>
    <t>2026-01-22 16:19:23</t>
  </si>
  <si>
    <t>2026-01-23 15:46:00</t>
  </si>
  <si>
    <t>00:04:15</t>
  </si>
  <si>
    <t>Piyush Shastri</t>
  </si>
  <si>
    <t>piyush.shastri@gokwik.co</t>
  </si>
  <si>
    <t>Nina Paul sent you a message in #general on Slack</t>
  </si>
  <si>
    <t>2026-01-27 12:30:37</t>
  </si>
  <si>
    <t>2026-01-30 12:30:37</t>
  </si>
  <si>
    <t>2026-01-27 13:08:17</t>
  </si>
  <si>
    <t>2026-01-28 12:45:14</t>
  </si>
  <si>
    <t>00:37:40</t>
  </si>
  <si>
    <t>eb-t01mc3460bt-u0a1df4kykf-prmp3wfrwefs7igfwe3z7cr6xa@slack-mail.com</t>
  </si>
  <si>
    <t>Query Regarding Enabling International Shipping for Nyasaraa</t>
  </si>
  <si>
    <t>2026-01-27 13:20:36</t>
  </si>
  <si>
    <t>2026-01-30 15:43:47</t>
  </si>
  <si>
    <t>2026-01-27 16:10:09</t>
  </si>
  <si>
    <t>2026-01-28 15:44:58</t>
  </si>
  <si>
    <t>2026-01-27 13:46:44</t>
  </si>
  <si>
    <t>00:26:08</t>
  </si>
  <si>
    <t>02:49:33</t>
  </si>
  <si>
    <t>Nyasaraa</t>
  </si>
  <si>
    <t>Nyasaraa.com</t>
  </si>
  <si>
    <t>Nithyashree M</t>
  </si>
  <si>
    <t>mnithyashree181@gmail.com</t>
  </si>
  <si>
    <t>Re: Delay in otp generation - urgent</t>
  </si>
  <si>
    <t>2026-01-28 08:34:41</t>
  </si>
  <si>
    <t>2026-01-31 11:55:26</t>
  </si>
  <si>
    <t>2026-01-28 13:07:20</t>
  </si>
  <si>
    <t>2026-01-29 12:44:58</t>
  </si>
  <si>
    <t>2026-01-28 09:45:32</t>
  </si>
  <si>
    <t>00:45:32</t>
  </si>
  <si>
    <t>04:07:20</t>
  </si>
  <si>
    <t>paresh</t>
  </si>
  <si>
    <t>knitroots</t>
  </si>
  <si>
    <t>knitroots.com</t>
  </si>
  <si>
    <t>Paresh Salvador</t>
  </si>
  <si>
    <t>teamknitroot@gmail.com</t>
  </si>
  <si>
    <t>Slow GoKwik Checkout Load + Discount Attribution Not Reflecting in WooCommerce</t>
  </si>
  <si>
    <t>2026-01-28 12:29:50</t>
  </si>
  <si>
    <t>2026-02-01 12:34:23</t>
  </si>
  <si>
    <t>2026-01-29 16:05:16</t>
  </si>
  <si>
    <t>2026-01-30 14:45:09</t>
  </si>
  <si>
    <t>2026-01-31 14:44:55</t>
  </si>
  <si>
    <t>2026-01-28 12:34:02</t>
  </si>
  <si>
    <t>00:04:12</t>
  </si>
  <si>
    <t>15:35:26</t>
  </si>
  <si>
    <t>Rumman</t>
  </si>
  <si>
    <t>Luxury Homeware</t>
  </si>
  <si>
    <t>www.harmiche.com</t>
  </si>
  <si>
    <t>harmiche</t>
  </si>
  <si>
    <t>Harmiche</t>
  </si>
  <si>
    <t>harmiche.goods@gmail.com</t>
  </si>
  <si>
    <t>Request to Display Delivery Timeline Before Payment Screen</t>
  </si>
  <si>
    <t>2026-01-28 15:24:03</t>
  </si>
  <si>
    <t>2026-02-01 10:03:47</t>
  </si>
  <si>
    <t>2026-01-29 10:17:01</t>
  </si>
  <si>
    <t>2026-01-30 08:44:57</t>
  </si>
  <si>
    <t>2026-01-31 08:44:49</t>
  </si>
  <si>
    <t>2026-01-28 15:36:49</t>
  </si>
  <si>
    <t>00:12:46</t>
  </si>
  <si>
    <t>06:52:58</t>
  </si>
  <si>
    <t>Mukesh</t>
  </si>
  <si>
    <t>Cyson</t>
  </si>
  <si>
    <t>cyson.in</t>
  </si>
  <si>
    <t>cyson</t>
  </si>
  <si>
    <t>Mukesh Doriwal</t>
  </si>
  <si>
    <t>info@cyson.in</t>
  </si>
  <si>
    <t>Garima Khareta sent you a message in #chill-scenes on Slack</t>
  </si>
  <si>
    <t>2026-01-28 17:25:06</t>
  </si>
  <si>
    <t>2026-01-31 17:25:06</t>
  </si>
  <si>
    <t>2026-01-28 17:32:45</t>
  </si>
  <si>
    <t>2026-01-29 16:45:05</t>
  </si>
  <si>
    <t>00:07:39</t>
  </si>
  <si>
    <t>eb-t01mc3460bt-u0a1df4kykf-sfbutlv3ahucnpa7decup6bpo4@slack-mail.com</t>
  </si>
  <si>
    <t>Urgent: EMI Payment Deducted but Order Not Created | Shopify Order ID tmp_KWIK00LZIOE61432708</t>
  </si>
  <si>
    <t>2026-01-29 10:36:55</t>
  </si>
  <si>
    <t>2026-02-02 08:23:18</t>
  </si>
  <si>
    <t>2026-01-30 14:43:55</t>
  </si>
  <si>
    <t>2026-01-31 13:45:05</t>
  </si>
  <si>
    <t>2026-01-29 11:11:47</t>
  </si>
  <si>
    <t>00:34:52</t>
  </si>
  <si>
    <t>16:07:00</t>
  </si>
  <si>
    <t>XLNC Perfumery</t>
  </si>
  <si>
    <t>xlncperfumery.com</t>
  </si>
  <si>
    <t>xlncperfumery</t>
  </si>
  <si>
    <t>support@xlncperfumery.com</t>
  </si>
  <si>
    <t>MERGE</t>
  </si>
  <si>
    <t>2026-01-29 10:37:04</t>
  </si>
  <si>
    <t>2026-02-01 10:37:04</t>
  </si>
  <si>
    <t>2026-01-29 11:08:43</t>
  </si>
  <si>
    <t>2026-01-30 10:45:17</t>
  </si>
  <si>
    <t>00:31:39</t>
  </si>
  <si>
    <t>Merged,closed&gt;2days</t>
  </si>
  <si>
    <t>2026-01-29 10:39:08</t>
  </si>
  <si>
    <t>2026-02-01 10:39:08</t>
  </si>
  <si>
    <t>2026-01-29 11:08:09</t>
  </si>
  <si>
    <t>00:29:01</t>
  </si>
  <si>
    <t>xxlncperfumeryind@gmail.com</t>
  </si>
  <si>
    <t>2026-01-29 10:39:23</t>
  </si>
  <si>
    <t>2026-02-01 10:39:23</t>
  </si>
  <si>
    <t>2026-01-29 11:07:42</t>
  </si>
  <si>
    <t>00:28:19</t>
  </si>
  <si>
    <t>GoKwik + Cloudflare Compatibility &amp; Optimization Required (Pre-Launch Planning)</t>
  </si>
  <si>
    <t>2026-01-29 11:21:48</t>
  </si>
  <si>
    <t>2026-02-08 22:59:33</t>
  </si>
  <si>
    <t>2026-02-06 16:01:31</t>
  </si>
  <si>
    <t>2026-02-11 13:06:50</t>
  </si>
  <si>
    <t>2026-01-29 11:24:49</t>
  </si>
  <si>
    <t>00:03:01</t>
  </si>
  <si>
    <t>100:39:43</t>
  </si>
  <si>
    <t>Harshal</t>
  </si>
  <si>
    <t>zepomart</t>
  </si>
  <si>
    <t>zepomart.in</t>
  </si>
  <si>
    <t>Zepomart</t>
  </si>
  <si>
    <t>zepomart@gmail.com</t>
  </si>
  <si>
    <t>Check out issue please fast resolve</t>
  </si>
  <si>
    <t>2026-01-29 13:27:04</t>
  </si>
  <si>
    <t>2026-02-01 13:27:04</t>
  </si>
  <si>
    <t>2026-01-29 13:52:55</t>
  </si>
  <si>
    <t>2026-01-30 13:44:56</t>
  </si>
  <si>
    <t>00:25:51</t>
  </si>
  <si>
    <t>Sk Digitalinc</t>
  </si>
  <si>
    <t>skdigitalnic@gmail.com</t>
  </si>
  <si>
    <t>2026-01-29 18:23:15</t>
  </si>
  <si>
    <t>2026-02-01 18:23:15</t>
  </si>
  <si>
    <t>2026-01-29 18:34:11</t>
  </si>
  <si>
    <t>2026-01-30 17:45:17</t>
  </si>
  <si>
    <t>00:10:56</t>
  </si>
  <si>
    <t>eb-t01mc3460bt-u0a1df4kykf-5dj42aqjjcmvfwkj2t2cmk4h7u@slack-mail.com</t>
  </si>
  <si>
    <t>Accounts settlement issue : Ajanta Soya &lt;&gt;Gokiwik</t>
  </si>
  <si>
    <t>Portal</t>
  </si>
  <si>
    <t>Pricing/Billing query</t>
  </si>
  <si>
    <t>2026-01-30 13:53:00</t>
  </si>
  <si>
    <t>2026-02-06 11:20:22</t>
  </si>
  <si>
    <t>2026-02-03 11:55:07</t>
  </si>
  <si>
    <t>2026-02-04 11:45:03</t>
  </si>
  <si>
    <t>2026-01-30 13:58:59</t>
  </si>
  <si>
    <t>00:05:59</t>
  </si>
  <si>
    <t>46:02:07</t>
  </si>
  <si>
    <t>Himani Joshi</t>
  </si>
  <si>
    <t>Ajanta Soya</t>
  </si>
  <si>
    <t>ajantasoya.com/shop</t>
  </si>
  <si>
    <t>Information Eduhive</t>
  </si>
  <si>
    <t>info@eduhivesolutions.com</t>
  </si>
  <si>
    <t>Concern Regarding Communication and Account Management Support</t>
  </si>
  <si>
    <t>2026-01-31 12:26:40</t>
  </si>
  <si>
    <t>2026-02-03 12:26:40</t>
  </si>
  <si>
    <t>2026-01-31 12:48:09</t>
  </si>
  <si>
    <t>2026-02-01 12:44:58</t>
  </si>
  <si>
    <t>00:21:29</t>
  </si>
  <si>
    <t>2026-01-31 12:27:00</t>
  </si>
  <si>
    <t>2026-02-03 12:27:00</t>
  </si>
  <si>
    <t>2026-01-31 12:48:50</t>
  </si>
  <si>
    <t>00:21:50</t>
  </si>
  <si>
    <t>Comfort Point &lt;&gt; GoKwik | MS Handover!!</t>
  </si>
  <si>
    <t>2026-01-31 14:07:32</t>
  </si>
  <si>
    <t>2026-02-03 14:07:32</t>
  </si>
  <si>
    <t>2026-01-31 14:08:25</t>
  </si>
  <si>
    <t>2026-02-01 13:44:59</t>
  </si>
  <si>
    <t>00:00:53</t>
  </si>
  <si>
    <t>Webhook Delivery of Abandoned Cart</t>
  </si>
  <si>
    <t>2026-01-31 15:28:11</t>
  </si>
  <si>
    <t>2026-02-04 08:53:30</t>
  </si>
  <si>
    <t>2026-02-01 09:01:21</t>
  </si>
  <si>
    <t>2026-02-02 08:44:49</t>
  </si>
  <si>
    <t>2026-01-31 15:35:32</t>
  </si>
  <si>
    <t>00:07:21</t>
  </si>
  <si>
    <t>05:33:10</t>
  </si>
  <si>
    <t>Abandon Cart Issues</t>
  </si>
  <si>
    <t>Users are unable to increase or decrease the product quantity in the cart.</t>
  </si>
  <si>
    <t>2026-02-01 15:53:10</t>
  </si>
  <si>
    <t>2026-02-04 16:13:41</t>
  </si>
  <si>
    <t>2026-02-01 17:04:59</t>
  </si>
  <si>
    <t>2026-02-02 16:44:55</t>
  </si>
  <si>
    <t>2026-02-01 16:07:34</t>
  </si>
  <si>
    <t>00:14:24</t>
  </si>
  <si>
    <t>01:11:49</t>
  </si>
  <si>
    <t>Chandan</t>
  </si>
  <si>
    <t>Greenstark Electronics Private Limited</t>
  </si>
  <si>
    <t>www.greenstark.in</t>
  </si>
  <si>
    <t>greenstark</t>
  </si>
  <si>
    <t>greenstark2020@gmail.com</t>
  </si>
  <si>
    <t>2026-02-02 15:30:39</t>
  </si>
  <si>
    <t>2026-02-05 15:30:39</t>
  </si>
  <si>
    <t>2026-02-02 15:59:05</t>
  </si>
  <si>
    <t>2026-02-03 15:51:35</t>
  </si>
  <si>
    <t>00:28:26</t>
  </si>
  <si>
    <t>eb-t01mc3460bt-u0a1df4kykf-gxo4ffhfzxcgtf62p235uq3fuu@slack-mail.com</t>
  </si>
  <si>
    <t>Fwd: Problem with Kwik Flows &amp; Conversion event count</t>
  </si>
  <si>
    <t>2026-02-02 16:20:02</t>
  </si>
  <si>
    <t>2026-02-07 16:44:20</t>
  </si>
  <si>
    <t>2026-02-05 10:23:38</t>
  </si>
  <si>
    <t>2026-02-06 08:44:47</t>
  </si>
  <si>
    <t>2026-02-07 07:45:05</t>
  </si>
  <si>
    <t>2026-02-02 16:26:07</t>
  </si>
  <si>
    <t>00:06:05</t>
  </si>
  <si>
    <t>30:03:36</t>
  </si>
  <si>
    <t>Cartwe</t>
  </si>
  <si>
    <t>Cartwe.com</t>
  </si>
  <si>
    <t>Checkout Issues</t>
  </si>
  <si>
    <t>Sagar Baranwal</t>
  </si>
  <si>
    <t>sagarbaranwal@gmail.com</t>
  </si>
  <si>
    <t>Request to Increase COD Limit to ₹10,000 for GoKwik Checkout</t>
  </si>
  <si>
    <t>2026-02-02 18:52:58</t>
  </si>
  <si>
    <t>2026-02-09 06:16:55</t>
  </si>
  <si>
    <t>2026-02-06 09:40:02</t>
  </si>
  <si>
    <t>2026-02-07 08:44:49</t>
  </si>
  <si>
    <t>2026-02-02 18:59:15</t>
  </si>
  <si>
    <t>00:06:17</t>
  </si>
  <si>
    <t>38:47:04</t>
  </si>
  <si>
    <t>Zubair</t>
  </si>
  <si>
    <t>sushainclinic</t>
  </si>
  <si>
    <t>https://sushainclinic.com</t>
  </si>
  <si>
    <t>COD configuration</t>
  </si>
  <si>
    <t>sushain clinic</t>
  </si>
  <si>
    <t>non-shopify</t>
  </si>
  <si>
    <t>Zuber Qureshi</t>
  </si>
  <si>
    <t>zuber.qureshi@sushainclinic.com</t>
  </si>
  <si>
    <t>Customer facing credit card payment issue</t>
  </si>
  <si>
    <t>2026-02-03 13:53:52</t>
  </si>
  <si>
    <t>2026-02-07 17:24:04</t>
  </si>
  <si>
    <t>2026-02-04 17:59:48</t>
  </si>
  <si>
    <t>2026-02-05 17:45:07</t>
  </si>
  <si>
    <t>2026-02-03 14:29:14</t>
  </si>
  <si>
    <t>00:35:22</t>
  </si>
  <si>
    <t>16:05:56</t>
  </si>
  <si>
    <t>Digitech Imaging Solutions</t>
  </si>
  <si>
    <t>digitechshop</t>
  </si>
  <si>
    <t>digitechshop.co.in</t>
  </si>
  <si>
    <t>digitechimagingsolutions7@gmail.com</t>
  </si>
  <si>
    <t>Need to make changes on GoKwik!</t>
  </si>
  <si>
    <t>2026-02-04 13:01:18</t>
  </si>
  <si>
    <t>2026-02-07 17:30:22</t>
  </si>
  <si>
    <t>2026-02-04 17:59:25</t>
  </si>
  <si>
    <t>2026-02-05 16:45:11</t>
  </si>
  <si>
    <t>2026-02-06 15:46:09</t>
  </si>
  <si>
    <t>2026-02-04 13:05:51</t>
  </si>
  <si>
    <t>00:04:33</t>
  </si>
  <si>
    <t>04:58:07</t>
  </si>
  <si>
    <t>Aqib</t>
  </si>
  <si>
    <t>zamindarkesar</t>
  </si>
  <si>
    <t>https://zamindarkesar.in/</t>
  </si>
  <si>
    <t>DIY Store Setup</t>
  </si>
  <si>
    <t>Aqib Hussain</t>
  </si>
  <si>
    <t>aakib0121@gmail.com</t>
  </si>
  <si>
    <t>Re: SKV Mart &lt;&gt; GoKwik Checkout Integration</t>
  </si>
  <si>
    <t>2026-02-04 13:44:29</t>
  </si>
  <si>
    <t>2026-02-08 06:45:29</t>
  </si>
  <si>
    <t>2026-02-05 11:19:54</t>
  </si>
  <si>
    <t>2026-02-06 09:45:01</t>
  </si>
  <si>
    <t>2026-02-07 09:45:01</t>
  </si>
  <si>
    <t>2026-02-04 17:56:59</t>
  </si>
  <si>
    <t>04:12:30</t>
  </si>
  <si>
    <t>09:35:25</t>
  </si>
  <si>
    <t>Shivam</t>
  </si>
  <si>
    <t>skoyra</t>
  </si>
  <si>
    <t>skoyra.com</t>
  </si>
  <si>
    <t>SKVMART</t>
  </si>
  <si>
    <t>Sk Mishra</t>
  </si>
  <si>
    <t>skmishrathe@gmail.com</t>
  </si>
  <si>
    <t>Checkout Error &lt;&gt; Sports Next Door</t>
  </si>
  <si>
    <t>Medium</t>
  </si>
  <si>
    <t>2026-02-04 15:00:41</t>
  </si>
  <si>
    <t>2026-02-10 16:54:16</t>
  </si>
  <si>
    <t>2026-02-09 18:00:36</t>
  </si>
  <si>
    <t>2026-02-10 16:45:06</t>
  </si>
  <si>
    <t>2026-02-11 16:45:02</t>
  </si>
  <si>
    <t>2026-02-04 15:28:15</t>
  </si>
  <si>
    <t>00:27:34</t>
  </si>
  <si>
    <t>62:59:55</t>
  </si>
  <si>
    <t>Parth</t>
  </si>
  <si>
    <t>Rishabh</t>
  </si>
  <si>
    <t>sportsnextdoor</t>
  </si>
  <si>
    <t>sportsnextdoor.com</t>
  </si>
  <si>
    <t>Sports Next Door</t>
  </si>
  <si>
    <t>Sports Next Door India</t>
  </si>
  <si>
    <t>sportsnextdoor@gmail.com</t>
  </si>
  <si>
    <t>2026-02-05 12:38:11</t>
  </si>
  <si>
    <t>2026-02-08 12:38:11</t>
  </si>
  <si>
    <t>2026-02-05 12:41:39</t>
  </si>
  <si>
    <t>2026-02-06 11:45:20</t>
  </si>
  <si>
    <t>00:03:28</t>
  </si>
  <si>
    <t>eb-t01mc3460bt-u0a1df4kykf-5asxx373bcflm7cc2ki7f6kelq@slack-mail.com</t>
  </si>
  <si>
    <t>Urgent: GoKwik Checkout Redirecting to Default WooCommerce Checkout on Fitnesstack.com</t>
  </si>
  <si>
    <t>2026-02-05 14:57:10</t>
  </si>
  <si>
    <t>2026-02-09 10:52:33</t>
  </si>
  <si>
    <t>2026-02-06 11:25:22</t>
  </si>
  <si>
    <t>2026-02-07 09:45:08</t>
  </si>
  <si>
    <t>2026-02-08 09:44:52</t>
  </si>
  <si>
    <t>2026-02-05 15:19:33</t>
  </si>
  <si>
    <t>00:22:23</t>
  </si>
  <si>
    <t>08:28:12</t>
  </si>
  <si>
    <t>Fitnesstack India</t>
  </si>
  <si>
    <t>info.fitnesstack@gmail.com</t>
  </si>
  <si>
    <t>Issue: GoKwik Checkout intermittently redirecting to default WooCommerce checkout</t>
  </si>
  <si>
    <t>2026-02-06 10:30:34</t>
  </si>
  <si>
    <t>2026-02-11 14:13:56</t>
  </si>
  <si>
    <t>2026-02-08 15:50:18</t>
  </si>
  <si>
    <t>2026-02-09 04:44:44</t>
  </si>
  <si>
    <t>2026-02-10 03:44:48</t>
  </si>
  <si>
    <t>2026-02-06 10:56:17</t>
  </si>
  <si>
    <t>00:25:43</t>
  </si>
  <si>
    <t>29:19:44</t>
  </si>
  <si>
    <t>http://giftlanes.com</t>
  </si>
  <si>
    <t>giftlanes</t>
  </si>
  <si>
    <t>http://giftlanes.com/</t>
  </si>
  <si>
    <t>rahul verma</t>
  </si>
  <si>
    <t>rahulverma6612@gmail.com</t>
  </si>
  <si>
    <t>Invitation: ?? India vs ?? USA | ? Prediction Box closes at 6 PM... @ Sat Feb 7, 2026 5:30pm - 6pm (GMT+5:30) (nonshopifybiz support)</t>
  </si>
  <si>
    <t>2026-02-06 11:04:12</t>
  </si>
  <si>
    <t>2026-02-09 11:04:12</t>
  </si>
  <si>
    <t>2026-02-06 11:05:32</t>
  </si>
  <si>
    <t>2026-02-07 10:45:01</t>
  </si>
  <si>
    <t>00:01:20</t>
  </si>
  <si>
    <t>Shriya Mahajan</t>
  </si>
  <si>
    <t>shriya.mahajan@gokwik.co</t>
  </si>
  <si>
    <t>2026-02-06 12:17:32</t>
  </si>
  <si>
    <t>2026-02-09 12:17:32</t>
  </si>
  <si>
    <t>2026-02-06 12:22:34</t>
  </si>
  <si>
    <t>2026-02-07 11:44:55</t>
  </si>
  <si>
    <t>00:05:02</t>
  </si>
  <si>
    <t>eb-t01mc3460bt-u0a1df4kykf-p6cptosy2orewzg6ezaseytouu@slack-mail.com</t>
  </si>
  <si>
    <t>Updated invitation with note: February Town Hall ? @ Mon Feb 9, 2026 2pm - 3:30pm (GMT+5:30) (nonshopifybiz support)</t>
  </si>
  <si>
    <t>2026-02-09 12:26:21</t>
  </si>
  <si>
    <t>2026-02-12 12:26:21</t>
  </si>
  <si>
    <t>2026-02-09 13:08:34</t>
  </si>
  <si>
    <t>2026-02-10 12:44:58</t>
  </si>
  <si>
    <t>00:42:13</t>
  </si>
  <si>
    <t>ananta. gaur</t>
  </si>
  <si>
    <t>ananta.gaur@gokwik.co</t>
  </si>
  <si>
    <t>Request to Enable Google Tag Manager on GoKwik Checkout &amp; Thank-You Pages</t>
  </si>
  <si>
    <t>2026-02-10 10:59:23</t>
  </si>
  <si>
    <t>2026-02-22 07:07:13</t>
  </si>
  <si>
    <t>2026-02-19 09:44:52</t>
  </si>
  <si>
    <t>2026-02-19 22:44:51</t>
  </si>
  <si>
    <t>2026-02-20 21:45:18</t>
  </si>
  <si>
    <t>2026-02-10 11:38:03</t>
  </si>
  <si>
    <t>00:38:40</t>
  </si>
  <si>
    <t>106:45:29</t>
  </si>
  <si>
    <t>Suhail</t>
  </si>
  <si>
    <t>exaltsupps</t>
  </si>
  <si>
    <t>exaltsupps.in</t>
  </si>
  <si>
    <t>Suhail Siddiqui</t>
  </si>
  <si>
    <t>suhail@nutragenixsciences.com</t>
  </si>
  <si>
    <t>2026-02-10 14:30:38</t>
  </si>
  <si>
    <t>2026-02-13 14:30:38</t>
  </si>
  <si>
    <t>2026-02-10 14:41:59</t>
  </si>
  <si>
    <t>2026-02-11 13:45:05</t>
  </si>
  <si>
    <t>00:11:21</t>
  </si>
  <si>
    <t>eb-t01mc3460bt-u0a1df4kykf-jaobs4pgzeeo2zb6c23ngal3oe@slack-mail.com</t>
  </si>
  <si>
    <t>Re: Fabveda &lt;&gt; GoKwik | MS Handover!!</t>
  </si>
  <si>
    <t>2026-02-11 09:54:43</t>
  </si>
  <si>
    <t>2026-02-14 14:32:24</t>
  </si>
  <si>
    <t>2026-02-11 14:56:35</t>
  </si>
  <si>
    <t>2026-02-12 15:47:09</t>
  </si>
  <si>
    <t>2026-02-11 10:18:44</t>
  </si>
  <si>
    <t>00:24:01</t>
  </si>
  <si>
    <t>05:01:52</t>
  </si>
  <si>
    <t>fabveda</t>
  </si>
  <si>
    <t>fabveda.com</t>
  </si>
  <si>
    <t>FabVeda</t>
  </si>
  <si>
    <t>Updated invitation: ??????? England vs West Indies ? | ? Prediction... @ Wed Feb 11, 2026 5pm - 6pm (GMT+5:30) (nonshopifybiz support)</t>
  </si>
  <si>
    <t>2026-02-11 10:39:38</t>
  </si>
  <si>
    <t>2026-02-14 10:39:38</t>
  </si>
  <si>
    <t>2026-02-11 10:41:50</t>
  </si>
  <si>
    <t>2026-02-12 09:44:52</t>
  </si>
  <si>
    <t>00:02:12</t>
  </si>
  <si>
    <t>2026-02-15 13:27:26</t>
  </si>
  <si>
    <t>2026-02-12 13:39:47</t>
  </si>
  <si>
    <t>2026-02-13 12:44:54</t>
  </si>
  <si>
    <t>2026-02-11 13:19:04</t>
  </si>
  <si>
    <t>00:12:14</t>
  </si>
  <si>
    <t>12:32:57</t>
  </si>
  <si>
    <t>Zepomart.in</t>
  </si>
  <si>
    <t>Disappointed with client support</t>
  </si>
  <si>
    <t>2026-02-11 15:23:58</t>
  </si>
  <si>
    <t>2026-02-14 15:23:58</t>
  </si>
  <si>
    <t>2026-02-11 15:32:22</t>
  </si>
  <si>
    <t>2026-02-12 15:47:10</t>
  </si>
  <si>
    <t>2026-02-11 15:31:52</t>
  </si>
  <si>
    <t>00:07:54</t>
  </si>
  <si>
    <t>00:08:24</t>
  </si>
  <si>
    <t>Gemora</t>
  </si>
  <si>
    <t>gemora.contact@gmail.com</t>
  </si>
  <si>
    <t>Your Exalt Supps wallet balance is low.</t>
  </si>
  <si>
    <t>2026-02-11 15:24:08</t>
  </si>
  <si>
    <t>2026-02-14 15:24:08</t>
  </si>
  <si>
    <t>2026-02-11 15:29:03</t>
  </si>
  <si>
    <t>00:04:55</t>
  </si>
  <si>
    <t>Exalt Supps</t>
  </si>
  <si>
    <t>exaltsupps@gmail.com</t>
  </si>
  <si>
    <t>Re: Disappointed with client support</t>
  </si>
  <si>
    <t>2026-02-11 16:36:48</t>
  </si>
  <si>
    <t>2026-02-14 16:36:48</t>
  </si>
  <si>
    <t>2026-02-11 16:40:42</t>
  </si>
  <si>
    <t>2026-02-12 15:47:11</t>
  </si>
  <si>
    <t>00:03:54</t>
  </si>
  <si>
    <t>2026-02-11 17:53:41</t>
  </si>
  <si>
    <t>2026-02-14 17:53:41</t>
  </si>
  <si>
    <t>2026-02-11 17:59:14</t>
  </si>
  <si>
    <t>2026-02-12 17:44:55</t>
  </si>
  <si>
    <t>00:05:33</t>
  </si>
  <si>
    <t>eb-t01mc3460bt-u0a1df4kykf-knwj3sz6vkbjq3ye73bowqmm6a@slack-mail.com</t>
  </si>
  <si>
    <t>Feedback on Checkout Integration Support &amp; Coordination</t>
  </si>
  <si>
    <t>2026-02-12 11:12:48</t>
  </si>
  <si>
    <t>2026-02-15 12:14:30</t>
  </si>
  <si>
    <t>2026-02-12 12:50:52</t>
  </si>
  <si>
    <t>2026-02-13 12:44:55</t>
  </si>
  <si>
    <t>2026-02-12 11:19:36</t>
  </si>
  <si>
    <t>00:06:48</t>
  </si>
  <si>
    <t>01:38:04</t>
  </si>
  <si>
    <t>feedback</t>
  </si>
  <si>
    <t>Payment failed</t>
  </si>
  <si>
    <t>2026-02-13 09:54:25</t>
  </si>
  <si>
    <t>2026-02-18 23:33:55</t>
  </si>
  <si>
    <t>2026-02-18 11:45:05</t>
  </si>
  <si>
    <t>2026-02-19 00:44:49</t>
  </si>
  <si>
    <t>2026-02-19 23:44:54</t>
  </si>
  <si>
    <t>2026-02-13 10:05:24</t>
  </si>
  <si>
    <t>00:10:59</t>
  </si>
  <si>
    <t>61:50:40</t>
  </si>
  <si>
    <t>kilkaari</t>
  </si>
  <si>
    <t>regarding report downloading</t>
  </si>
  <si>
    <t>2026-02-13 12:29:38</t>
  </si>
  <si>
    <t>2026-02-16 01:11:33</t>
  </si>
  <si>
    <t>2026-02-15 14:44:58</t>
  </si>
  <si>
    <t>2026-02-16 03:44:45</t>
  </si>
  <si>
    <t>2026-02-17 02:44:53</t>
  </si>
  <si>
    <t>2026-02-13 13:17:07</t>
  </si>
  <si>
    <t>00:47:29</t>
  </si>
  <si>
    <t>26:15:20</t>
  </si>
  <si>
    <t>3 AM</t>
  </si>
  <si>
    <t>Vaishali V</t>
  </si>
  <si>
    <t>vaishali.v@thedeconstruct.in</t>
  </si>
  <si>
    <t>Invitation: ??????? England vs ?? Italy | ? Prediction Box... @ Mon Feb 16, 2026 1pm - 2pm (GMT+5:30) (nonshopifybiz support)</t>
  </si>
  <si>
    <t>2026-02-16 09:47:21</t>
  </si>
  <si>
    <t>2026-02-19 09:47:21</t>
  </si>
  <si>
    <t>2026-02-16 09:49:17</t>
  </si>
  <si>
    <t>2026-02-17 09:44:52</t>
  </si>
  <si>
    <t>00:01:56</t>
  </si>
  <si>
    <t>Juhi Mazumdar sent you a message in #chill-scenes on Slack</t>
  </si>
  <si>
    <t>2026-02-16 09:51:09</t>
  </si>
  <si>
    <t>2026-02-19 09:51:09</t>
  </si>
  <si>
    <t>2026-02-16 10:54:50</t>
  </si>
  <si>
    <t>2026-02-17 10:44:57</t>
  </si>
  <si>
    <t>01:03:41</t>
  </si>
  <si>
    <t>eb-t01mc3460bt-u0a1df4kykf-fe3pmg565yts2dy6biufuxqziy@slack-mail.com</t>
  </si>
  <si>
    <t>2026-02-16 10:20:51</t>
  </si>
  <si>
    <t>2026-02-19 10:20:51</t>
  </si>
  <si>
    <t>2026-02-16 10:55:05</t>
  </si>
  <si>
    <t>00:34:14</t>
  </si>
  <si>
    <t>eb-t01mc3460bt-u0a1df4kykf-nyufbhca67lrlzriulgvtlmy7y@slack-mail.com</t>
  </si>
  <si>
    <t>Request to Keep GoKwik Checkout Active on WooCommerce Due to Domain Issue</t>
  </si>
  <si>
    <t>2026-02-16 11:44:13</t>
  </si>
  <si>
    <t>2026-02-18 04:30:00</t>
  </si>
  <si>
    <t>2026-02-17 16:34:13</t>
  </si>
  <si>
    <t>2026-02-18 15:44:57</t>
  </si>
  <si>
    <t>2026-02-16 11:48:08</t>
  </si>
  <si>
    <t>00:03:55</t>
  </si>
  <si>
    <t>16:50:00</t>
  </si>
  <si>
    <t>Usha</t>
  </si>
  <si>
    <t>2026-02-16 13:35:43</t>
  </si>
  <si>
    <t>2026-02-19 13:35:43</t>
  </si>
  <si>
    <t>2026-02-16 13:40:31</t>
  </si>
  <si>
    <t>2026-02-17 12:44:58</t>
  </si>
  <si>
    <t>00:04:48</t>
  </si>
  <si>
    <t>eb-t01mc3460bt-u0a1df4kykf-krsbnxjsriy2icyw6hqlszbphy@slack-mail.com</t>
  </si>
  <si>
    <t>Meta Issue</t>
  </si>
  <si>
    <t>2026-02-17 11:50:06</t>
  </si>
  <si>
    <t>2026-02-28 23:56:54</t>
  </si>
  <si>
    <t>2026-02-26 20:44:43</t>
  </si>
  <si>
    <t>2026-02-27 08:44:52</t>
  </si>
  <si>
    <t>2026-02-28 08:44:49</t>
  </si>
  <si>
    <t>2026-02-17 12:41:22</t>
  </si>
  <si>
    <t>00:51:16</t>
  </si>
  <si>
    <t>104:54:37</t>
  </si>
  <si>
    <t>Saloni</t>
  </si>
  <si>
    <t>Grreh</t>
  </si>
  <si>
    <t>https://grreh.in/</t>
  </si>
  <si>
    <t>info.grreh@gmail.com</t>
  </si>
  <si>
    <t>Re: For integration on staging website</t>
  </si>
  <si>
    <t>2026-02-17 19:32:06</t>
  </si>
  <si>
    <t>2026-02-22 15:54:32</t>
  </si>
  <si>
    <t>2026-02-21 19:07:40</t>
  </si>
  <si>
    <t>2026-03-03 11:17:29</t>
  </si>
  <si>
    <t>2026-02-18 14:10:49</t>
  </si>
  <si>
    <t>06:38:43</t>
  </si>
  <si>
    <t>35:35:34</t>
  </si>
  <si>
    <t>https://www.gomataseva.org/</t>
  </si>
  <si>
    <t>gomataseva</t>
  </si>
  <si>
    <t>Request to Enable International Payment Gateway</t>
  </si>
  <si>
    <t>2026-02-17 23:24:32</t>
  </si>
  <si>
    <t>2026-02-20 23:24:32</t>
  </si>
  <si>
    <t>2026-02-18 09:37:43</t>
  </si>
  <si>
    <t>2026-02-19 09:44:58</t>
  </si>
  <si>
    <t>2026-02-18 09:37:28</t>
  </si>
  <si>
    <t>00:37:43</t>
  </si>
  <si>
    <t>Dinesh</t>
  </si>
  <si>
    <t>Payment &amp; Page UI Controls</t>
  </si>
  <si>
    <t>Godofsupps</t>
  </si>
  <si>
    <t>godofsupps@gmail.com</t>
  </si>
  <si>
    <t>Order Failed, even after updating plugin</t>
  </si>
  <si>
    <t>2026-02-18 13:06:08</t>
  </si>
  <si>
    <t>2026-02-23 11:25:15</t>
  </si>
  <si>
    <t>2026-02-20 11:45:05</t>
  </si>
  <si>
    <t>2026-02-21 00:44:49</t>
  </si>
  <si>
    <t>2026-02-21 23:45:19</t>
  </si>
  <si>
    <t>2026-02-18 13:25:48</t>
  </si>
  <si>
    <t>00:19:40</t>
  </si>
  <si>
    <t>19:53:52</t>
  </si>
  <si>
    <t>kilkaari.in</t>
  </si>
  <si>
    <t>Payment Options are not showing after entering otp</t>
  </si>
  <si>
    <t>2026-02-18 17:31:03</t>
  </si>
  <si>
    <t>2026-02-21 17:42:59</t>
  </si>
  <si>
    <t>2026-02-19 15:41:35</t>
  </si>
  <si>
    <t>2026-02-20 13:45:06</t>
  </si>
  <si>
    <t>2026-02-21 13:44:59</t>
  </si>
  <si>
    <t>2026-02-18 17:43:44</t>
  </si>
  <si>
    <t>00:12:41</t>
  </si>
  <si>
    <t>10:10:32</t>
  </si>
  <si>
    <t>Dhrupal</t>
  </si>
  <si>
    <t>popculturr</t>
  </si>
  <si>
    <t>popculturr.com</t>
  </si>
  <si>
    <t>dhrupal babariya</t>
  </si>
  <si>
    <t>babariyadhrupal@gmail.com</t>
  </si>
  <si>
    <t>Payment Failed</t>
  </si>
  <si>
    <t>2026-02-23 20:30:20</t>
  </si>
  <si>
    <t>2026-02-24 08:30:20</t>
  </si>
  <si>
    <t>2026-02-26 07:44:46</t>
  </si>
  <si>
    <t>2026-02-26 19:44:52</t>
  </si>
  <si>
    <t>2026-02-27 19:45:06</t>
  </si>
  <si>
    <t>2026-02-24 09:10:12</t>
  </si>
  <si>
    <t>00:39:52</t>
  </si>
  <si>
    <t>24:29:40</t>
  </si>
  <si>
    <t>kilkkaari</t>
  </si>
  <si>
    <t>Urgent: Multiple WooCommerce Orders Being Created for Single COD Submission</t>
  </si>
  <si>
    <t>2026-02-24 08:01:13</t>
  </si>
  <si>
    <t>2026-02-28 09:06:37</t>
  </si>
  <si>
    <t>2026-02-25 12:19:32</t>
  </si>
  <si>
    <t>2026-02-26 10:45:06</t>
  </si>
  <si>
    <t>2026-02-27 10:45:01</t>
  </si>
  <si>
    <t>2026-02-24 09:43:38</t>
  </si>
  <si>
    <t>00:43:38</t>
  </si>
  <si>
    <t>15:19:32</t>
  </si>
  <si>
    <t>Javed</t>
  </si>
  <si>
    <t>Books Jugaad</t>
  </si>
  <si>
    <t>booksjugaad.com</t>
  </si>
  <si>
    <t>booksjugaad@gmail.com</t>
  </si>
  <si>
    <t>Invitation: England??????? vs Pakistan ?? | Prediction Box c... @ Tue Feb 24, 2026 11am - 12pm (GMT+5:30) (nonshopifybiz support)</t>
  </si>
  <si>
    <t>2026-02-24 11:13:01</t>
  </si>
  <si>
    <t>2026-02-27 11:13:01</t>
  </si>
  <si>
    <t>2026-02-25 10:44:53</t>
  </si>
  <si>
    <t>Re: [Books Jugaad] Login Details</t>
  </si>
  <si>
    <t>2026-02-24 15:27:24</t>
  </si>
  <si>
    <t>2026-02-27 15:30:00</t>
  </si>
  <si>
    <t>2026-02-24 15:34:26</t>
  </si>
  <si>
    <t>2026-02-25 14:45:01</t>
  </si>
  <si>
    <t>00:07:02</t>
  </si>
  <si>
    <t>PPCOD amount not received</t>
  </si>
  <si>
    <t>2026-02-25 10:36:39</t>
  </si>
  <si>
    <t>2026-02-28 11:47:40</t>
  </si>
  <si>
    <t>2026-02-25 15:05:17</t>
  </si>
  <si>
    <t>2026-02-26 15:46:32</t>
  </si>
  <si>
    <t>2026-02-25 10:51:42</t>
  </si>
  <si>
    <t>00:15:03</t>
  </si>
  <si>
    <t>04:28:38</t>
  </si>
  <si>
    <t>Stayclassy</t>
  </si>
  <si>
    <t>stayclassy</t>
  </si>
  <si>
    <t>stayclassy.in</t>
  </si>
  <si>
    <t>Payments capture failure</t>
  </si>
  <si>
    <t>2026-02-25 10:46:17</t>
  </si>
  <si>
    <t>2026-03-04 05:04:28</t>
  </si>
  <si>
    <t>2026-03-01 10:20:24</t>
  </si>
  <si>
    <t>2026-03-02 09:44:48</t>
  </si>
  <si>
    <t>2026-02-25 11:19:12</t>
  </si>
  <si>
    <t>00:32:55</t>
  </si>
  <si>
    <t>47:34:07</t>
  </si>
  <si>
    <t>nirmalas home</t>
  </si>
  <si>
    <t>nirmalas.com</t>
  </si>
  <si>
    <t>Nirmala</t>
  </si>
  <si>
    <t>nirmalashomekitchen97@gmail.com</t>
  </si>
  <si>
    <t>2026-02-25 10:57:06</t>
  </si>
  <si>
    <t>2026-02-28 11:04:24</t>
  </si>
  <si>
    <t>2026-02-25 13:21:04</t>
  </si>
  <si>
    <t>2026-02-26 11:45:08</t>
  </si>
  <si>
    <t>2026-02-27 11:44:58</t>
  </si>
  <si>
    <t>2026-02-25 11:35:14</t>
  </si>
  <si>
    <t>00:38:08</t>
  </si>
  <si>
    <t>02:23:58</t>
  </si>
  <si>
    <t>nirmalashomekitchen97</t>
  </si>
  <si>
    <t>nirmalashomekitchen97.com</t>
  </si>
  <si>
    <t>Invitation: ? Sri Lanka vs New Zealand | Prediction Box closes at 2... @ Wed Feb 25, 2026 1pm - 2pm (GMT+5:30) (nonshopifybiz support)</t>
  </si>
  <si>
    <t>2026-02-25 11:06:25</t>
  </si>
  <si>
    <t>2026-02-28 11:06:25</t>
  </si>
  <si>
    <t>2026-02-25 11:06:26</t>
  </si>
  <si>
    <t>2026-02-26 10:45:04</t>
  </si>
  <si>
    <t>00:00:01</t>
  </si>
  <si>
    <t>Updated invitation: KwikShip | Happy to Help @ Thu Feb 26, 2026 4pm - 5pm (GMT+5:30) (nonshopifybiz support)</t>
  </si>
  <si>
    <t>2026-02-25 11:13:13</t>
  </si>
  <si>
    <t>2026-02-28 11:13:13</t>
  </si>
  <si>
    <t>2026-02-25 11:13:14</t>
  </si>
  <si>
    <t>2026-02-25 11:34:00</t>
  </si>
  <si>
    <t>2026-02-28 11:34:00</t>
  </si>
  <si>
    <t>2026-02-25 11:38:18</t>
  </si>
  <si>
    <t>2026-02-26 10:45:05</t>
  </si>
  <si>
    <t>00:04:18</t>
  </si>
  <si>
    <t>eb-t01mc3460bt-u0a1df4kykf-7xhqcpx6ssllcsuwvhzkyzqfme@slack-mail.com</t>
  </si>
  <si>
    <t>Amount Mismatch Issue &lt;&gt; BeastXOutfit</t>
  </si>
  <si>
    <t>2026-02-25 11:49:56</t>
  </si>
  <si>
    <t>2026-02-27 23:24:22</t>
  </si>
  <si>
    <t>2026-02-27 15:46:21</t>
  </si>
  <si>
    <t>2026-02-28 04:44:51</t>
  </si>
  <si>
    <t>2026-03-01 04:44:49</t>
  </si>
  <si>
    <t>2026-02-25 12:00:17</t>
  </si>
  <si>
    <t>00:10:21</t>
  </si>
  <si>
    <t>27:56:25</t>
  </si>
  <si>
    <t>Rishabh Sarkar</t>
  </si>
  <si>
    <t>BeastX outfit</t>
  </si>
  <si>
    <t>www.beastxoutfit.com</t>
  </si>
  <si>
    <t>BeastX Outfit</t>
  </si>
  <si>
    <t>2026-02-25 13:01:03</t>
  </si>
  <si>
    <t>2026-02-28 13:01:03</t>
  </si>
  <si>
    <t>2026-02-25 13:15:55</t>
  </si>
  <si>
    <t>2026-02-26 12:47:32</t>
  </si>
  <si>
    <t>00:14:52</t>
  </si>
  <si>
    <t>eb-t01mc3460bt-u0a1df4kykf-5y3ufgfswoo2l57e4rhalkq2ha@slack-mail.com</t>
  </si>
  <si>
    <t>Update: Sellkiya Referral &amp; Checkout Loading Issue | For Men Cure</t>
  </si>
  <si>
    <t>2026-02-25 15:16:04</t>
  </si>
  <si>
    <t>2026-02-28 15:16:04</t>
  </si>
  <si>
    <t>2026-02-25 16:32:51</t>
  </si>
  <si>
    <t>2026-02-26 15:46:34</t>
  </si>
  <si>
    <t>2026-02-25 16:22:08</t>
  </si>
  <si>
    <t>01:06:04</t>
  </si>
  <si>
    <t>01:16:47</t>
  </si>
  <si>
    <t>na</t>
  </si>
  <si>
    <t>Buyoom Buyoom</t>
  </si>
  <si>
    <t>azcurelab@gmail.com</t>
  </si>
  <si>
    <t>2026-02-25 17:00:16</t>
  </si>
  <si>
    <t>2026-02-28 17:51:00</t>
  </si>
  <si>
    <t>2026-02-25 17:59:42</t>
  </si>
  <si>
    <t>2026-02-26 17:44:55</t>
  </si>
  <si>
    <t>2026-02-25 17:08:50</t>
  </si>
  <si>
    <t>00:08:34</t>
  </si>
  <si>
    <t>00:59:26</t>
  </si>
  <si>
    <t>For Men Cure</t>
  </si>
  <si>
    <t>formencure.com</t>
  </si>
  <si>
    <t>FormenCure</t>
  </si>
  <si>
    <t>AZCURELAB HEALTHCARE</t>
  </si>
  <si>
    <t>azcurelabhealthcare@gmail.com</t>
  </si>
  <si>
    <t>2026-02-26 10:54:24</t>
  </si>
  <si>
    <t>2026-03-01 10:54:24</t>
  </si>
  <si>
    <t>2026-02-26 11:08:20</t>
  </si>
  <si>
    <t>2026-02-27 10:45:04</t>
  </si>
  <si>
    <t>00:13:56</t>
  </si>
  <si>
    <t>eb-t01mc3460bt-u0a1df4kykf-dobo2uj6azq7gbfpyzowxy4nzq@slack-mail.com</t>
  </si>
  <si>
    <t>Request to Add GoKwik Domain to Shopify Store</t>
  </si>
  <si>
    <t>2026-02-26 11:28:37</t>
  </si>
  <si>
    <t>2026-03-01 11:28:37</t>
  </si>
  <si>
    <t>2026-02-26 12:02:38</t>
  </si>
  <si>
    <t>2026-02-27 11:45:02</t>
  </si>
  <si>
    <t>00:34:01</t>
  </si>
  <si>
    <t>Customer Blocking</t>
  </si>
  <si>
    <t>2026-02-26 11:49:40</t>
  </si>
  <si>
    <t>2026-03-01 11:49:40</t>
  </si>
  <si>
    <t>2026-02-26 11:50:26</t>
  </si>
  <si>
    <t>2026-02-27 11:45:03</t>
  </si>
  <si>
    <t>00:00:46</t>
  </si>
  <si>
    <t>eb-t01mc3460bt-u0a1df4kykf-aumhlp6ktdrv3zmsw23j7v36k4@slack-mail.com</t>
  </si>
  <si>
    <t>Urgent: Payment Failure Issue on Cart – Immediate Assistance Required</t>
  </si>
  <si>
    <t>2026-02-26 12:44:47</t>
  </si>
  <si>
    <t>2026-03-03 11:03:14</t>
  </si>
  <si>
    <t>2026-02-28 11:45:01</t>
  </si>
  <si>
    <t>2026-03-01 00:44:44</t>
  </si>
  <si>
    <t>2026-03-01 23:44:53</t>
  </si>
  <si>
    <t>2026-02-26 13:25:33</t>
  </si>
  <si>
    <t>00:40:46</t>
  </si>
  <si>
    <t>23:00:14</t>
  </si>
  <si>
    <t>nooob</t>
  </si>
  <si>
    <t>noooob.in</t>
  </si>
  <si>
    <t>noooob</t>
  </si>
  <si>
    <t>Iam</t>
  </si>
  <si>
    <t>iam@nooob.in</t>
  </si>
  <si>
    <t>payments getting auto refunded</t>
  </si>
  <si>
    <t>2026-02-27 22:03:38</t>
  </si>
  <si>
    <t>2026-03-03 05:07:02</t>
  </si>
  <si>
    <t>2026-02-28 16:04:36</t>
  </si>
  <si>
    <t>2026-03-05 18:16:04</t>
  </si>
  <si>
    <t>2026-02-28 09:01:40</t>
  </si>
  <si>
    <t>00:01:40</t>
  </si>
  <si>
    <t>07:04:36</t>
  </si>
  <si>
    <t>exotix</t>
  </si>
  <si>
    <t>Order Config</t>
  </si>
  <si>
    <t>exotixclothes@gmail.com</t>
  </si>
  <si>
    <t>Invitation: Sri Lanka vs Pakistan | Prediction Box Closes at 6:00 PM @ Sat Feb 28, 2026 5pm - 6pm (GMT+5:30) (nonshopifybiz support)</t>
  </si>
  <si>
    <t>2026-02-28 15:09:23</t>
  </si>
  <si>
    <t>2026-03-03 15:09:23</t>
  </si>
  <si>
    <t>2026-02-28 15:09:24</t>
  </si>
  <si>
    <t>2026-03-01 14:44:58</t>
  </si>
  <si>
    <t>2026-02-28 15:11:02</t>
  </si>
  <si>
    <t>2026-03-03 15:11:02</t>
  </si>
  <si>
    <t>2026-02-28 15:14:53</t>
  </si>
  <si>
    <t>2026-03-01 14:44:59</t>
  </si>
  <si>
    <t>00:03:51</t>
  </si>
  <si>
    <t>eb-t01mc3460bt-u0a1df4kykf-alyj54hnsad4rxotl4su3ajcfq@slack-mail.com</t>
  </si>
  <si>
    <t>2026-02-28 17:01:16</t>
  </si>
  <si>
    <t>2026-03-03 17:01:16</t>
  </si>
  <si>
    <t>2026-02-28 17:09:05</t>
  </si>
  <si>
    <t>2026-03-01 16:45:02</t>
  </si>
  <si>
    <t>00:07:49</t>
  </si>
  <si>
    <t>eb-t01mc3460bt-u0a1df4kykf-e7vgixvy2jeox4z4sa6a2ot4ai@slack-mail.com</t>
  </si>
  <si>
    <t>Re: Gokwik Woocommerce Integration – Domain Mismatch Issue | Sharkshirts</t>
  </si>
  <si>
    <t>2026-02-28 17:25:28</t>
  </si>
  <si>
    <t>2026-03-11 22:12:20</t>
  </si>
  <si>
    <t>2026-03-14 17:11:56</t>
  </si>
  <si>
    <t>2026-03-18 10:37:48</t>
  </si>
  <si>
    <t>2026-02-28 18:03:06</t>
  </si>
  <si>
    <t>00:37:38</t>
  </si>
  <si>
    <t>167:46:28</t>
  </si>
  <si>
    <t>GKP-31705,closed&gt;2days</t>
  </si>
  <si>
    <t>sharkshirts99</t>
  </si>
  <si>
    <t>www.sharkshirts99.in</t>
  </si>
  <si>
    <t>Shark Shirts</t>
  </si>
  <si>
    <t>sharkshirts99@gmail.com</t>
  </si>
  <si>
    <t>2026-03-01 10:00:28</t>
  </si>
  <si>
    <t>2026-03-04 10:00:28</t>
  </si>
  <si>
    <t>2026-03-01 10:17:39</t>
  </si>
  <si>
    <t>2026-03-02 09:44:49</t>
  </si>
  <si>
    <t>00:17:11</t>
  </si>
  <si>
    <t>eb-t01mc3460bt-u0a1df4kykf-rdqyn75vnyn75kblibypzgehim@slack-mail.com</t>
  </si>
  <si>
    <t>Invitation: Zimbabwe vs South Africa | Prediction Box Closes at 2 PM @ Sun Mar 1, 2026 1pm - 2pm (GMT+5:30) (nonshopifybiz support)</t>
  </si>
  <si>
    <t>2026-03-01 10:13:38</t>
  </si>
  <si>
    <t>2026-03-04 10:13:38</t>
  </si>
  <si>
    <t>Invitation: India vs West Indies | Prediction Box Closes at 6 PM @ Sun Mar 1, 2026 5pm - 6pm (GMT+5:30) (nonshopifybiz support)</t>
  </si>
  <si>
    <t>2026-03-01 10:15:17</t>
  </si>
  <si>
    <t>2026-03-04 10:15:17</t>
  </si>
  <si>
    <t>2026-03-02 09:44:50</t>
  </si>
  <si>
    <t>2026-03-01 13:00:48</t>
  </si>
  <si>
    <t>2026-03-04 13:00:48</t>
  </si>
  <si>
    <t>2026-03-01 13:21:53</t>
  </si>
  <si>
    <t>2026-03-02 12:45:03</t>
  </si>
  <si>
    <t>00:21:05</t>
  </si>
  <si>
    <t>eb-t01mc3460bt-u0a1df4kykf-cqdzcv36tiilrvm5pbtd4ljfse@slack-mail.com</t>
  </si>
  <si>
    <t>2026-03-01 17:00:30</t>
  </si>
  <si>
    <t>2026-03-04 17:00:30</t>
  </si>
  <si>
    <t>2026-03-01 18:05:10</t>
  </si>
  <si>
    <t>2026-03-02 17:45:03</t>
  </si>
  <si>
    <t>01:04:40</t>
  </si>
  <si>
    <t>eb-t01mc3460bt-u0a1df4kykf-7zrgz25cn33vzstrv4wqmt2rsq@slack-mail.com</t>
  </si>
  <si>
    <t>Re: Spiritual Aura - Welcome to GoKwik! You’re Now Live</t>
  </si>
  <si>
    <t>2026-03-05 10:20:16</t>
  </si>
  <si>
    <t>2026-03-08 12:43:19</t>
  </si>
  <si>
    <t>2026-03-05 13:13:16</t>
  </si>
  <si>
    <t>2026-03-09 13:21:28</t>
  </si>
  <si>
    <t>02:53:00</t>
  </si>
  <si>
    <t>pavani</t>
  </si>
  <si>
    <t>Spiritual Aura</t>
  </si>
  <si>
    <t>https://spiritualaura.in/</t>
  </si>
  <si>
    <t>https://spiritualaura.in</t>
  </si>
  <si>
    <t>2026-03-05 17:01:22</t>
  </si>
  <si>
    <t>2026-03-08 17:01:22</t>
  </si>
  <si>
    <t>2026-03-05 17:12:42</t>
  </si>
  <si>
    <t>2026-03-06 16:45:03</t>
  </si>
  <si>
    <t>00:11:20</t>
  </si>
  <si>
    <t>eb-t01mc3460bt-u0a1df4kykf-tz3oaziirxgj5faepzzajbpw7e@slack-mail.com</t>
  </si>
  <si>
    <t>Invitation: ? India vs New Zealand GPL Finals | Prediction Box Close... @ Sun Mar 8, 2026 5pm - 6pm (GMT+5:30) (nonshopifybiz support)</t>
  </si>
  <si>
    <t>2026-03-06 11:34:26</t>
  </si>
  <si>
    <t>2026-03-09 11:34:26</t>
  </si>
  <si>
    <t>2026-03-06 11:34:27</t>
  </si>
  <si>
    <t>2026-03-07 10:44:57</t>
  </si>
  <si>
    <t>utkarsh.pandey@gokwik.co</t>
  </si>
  <si>
    <t>2026-03-09 08:42:06</t>
  </si>
  <si>
    <t>2026-03-16 12:46:25</t>
  </si>
  <si>
    <t>2026-03-14 08:41:20</t>
  </si>
  <si>
    <t>2026-03-15 06:45:02</t>
  </si>
  <si>
    <t>2026-03-16 06:44:48</t>
  </si>
  <si>
    <t>2026-03-09 09:59:43</t>
  </si>
  <si>
    <t>00:59:43</t>
  </si>
  <si>
    <t>60:00:00</t>
  </si>
  <si>
    <t>GQ-420,closed&gt;2days</t>
  </si>
  <si>
    <t>tvph</t>
  </si>
  <si>
    <t>tvph.in</t>
  </si>
  <si>
    <t>Tanmoy Das</t>
  </si>
  <si>
    <t>help.tvph.in@gmail.com</t>
  </si>
  <si>
    <t>Domain Change &lt;&gt; SKV Mart</t>
  </si>
  <si>
    <t>2026-03-09 10:00:15</t>
  </si>
  <si>
    <t>2026-03-12 10:00:15</t>
  </si>
  <si>
    <t>2026-03-09 10:23:35</t>
  </si>
  <si>
    <t>2026-03-10 09:44:59</t>
  </si>
  <si>
    <t>2026-03-09 10:14:45</t>
  </si>
  <si>
    <t>00:14:30</t>
  </si>
  <si>
    <t>00:23:20</t>
  </si>
  <si>
    <t>Shivam Mishra</t>
  </si>
  <si>
    <t>SKV Mart</t>
  </si>
  <si>
    <t>2026-03-12 20:56:23</t>
  </si>
  <si>
    <t>2026-03-09 22:17:04</t>
  </si>
  <si>
    <t>2026-03-10 21:44:56</t>
  </si>
  <si>
    <t>2026-03-09 13:26:54</t>
  </si>
  <si>
    <t>00:05:26</t>
  </si>
  <si>
    <t>07:38:32</t>
  </si>
  <si>
    <t>spiritualaura</t>
  </si>
  <si>
    <t>spiritualaura9@gmail.com</t>
  </si>
  <si>
    <t>Unable to Login to GoKwik Account</t>
  </si>
  <si>
    <t>2026-03-10 09:08:20</t>
  </si>
  <si>
    <t>2026-03-15 07:10:37</t>
  </si>
  <si>
    <t>2026-03-12 07:44:46</t>
  </si>
  <si>
    <t>2026-03-12 19:44:51</t>
  </si>
  <si>
    <t>2026-03-13 18:44:55</t>
  </si>
  <si>
    <t>2026-03-10 09:42:23</t>
  </si>
  <si>
    <t>00:34:03</t>
  </si>
  <si>
    <t>23:51:40</t>
  </si>
  <si>
    <t>Shubham Mukhwas</t>
  </si>
  <si>
    <t>www.shubhammukhwas.com</t>
  </si>
  <si>
    <t>rajesh sharma</t>
  </si>
  <si>
    <t>shivampackaging59@gmail.com</t>
  </si>
  <si>
    <t>Partial COD showing Negative amount payable at delivery - pl help</t>
  </si>
  <si>
    <t>2026-03-10 15:10:16</t>
  </si>
  <si>
    <t>2026-03-11 20:36:34</t>
  </si>
  <si>
    <t>2026-03-11 10:44:53</t>
  </si>
  <si>
    <t>2026-03-12 10:44:58</t>
  </si>
  <si>
    <t>07:34:37</t>
  </si>
  <si>
    <t>purixa wipes</t>
  </si>
  <si>
    <t>Samresh Malik</t>
  </si>
  <si>
    <t>purixawipes@gmail.com</t>
  </si>
  <si>
    <t>[Exotix] Login Details</t>
  </si>
  <si>
    <t>2026-03-10 15:20:39</t>
  </si>
  <si>
    <t>2026-03-13 15:20:39</t>
  </si>
  <si>
    <t>2026-03-10 15:37:41</t>
  </si>
  <si>
    <t>2026-03-11 14:44:58</t>
  </si>
  <si>
    <t>00:17:02</t>
  </si>
  <si>
    <t>Exotix Orders</t>
  </si>
  <si>
    <t>orders@exotix.in</t>
  </si>
  <si>
    <t>Technical Issue: Unable to Save Google Ads Integration Settings – Mishfa</t>
  </si>
  <si>
    <t>2026-03-11 10:40:43</t>
  </si>
  <si>
    <t>2026-03-23 08:07:51</t>
  </si>
  <si>
    <t>2026-03-20 13:44:53</t>
  </si>
  <si>
    <t>2026-03-21 02:44:49</t>
  </si>
  <si>
    <t>2026-03-22 02:44:49</t>
  </si>
  <si>
    <t>2026-03-11 10:50:09</t>
  </si>
  <si>
    <t>00:09:26</t>
  </si>
  <si>
    <t>111:04:10</t>
  </si>
  <si>
    <t>GKP-31683,GKP-31637,closed&gt;2days</t>
  </si>
  <si>
    <t>Extremely dissatisfied</t>
  </si>
  <si>
    <t>Rauf Khan</t>
  </si>
  <si>
    <t>Mishfa</t>
  </si>
  <si>
    <t>Mishfa.com</t>
  </si>
  <si>
    <t>ar.khan78692@gmail.com</t>
  </si>
  <si>
    <t>2026-03-11 13:08:40</t>
  </si>
  <si>
    <t>2026-03-12 01:16:03</t>
  </si>
  <si>
    <t>2026-03-11 13:35:14</t>
  </si>
  <si>
    <t>2026-03-12 12:45:12</t>
  </si>
  <si>
    <t>2026-03-11 13:15:13</t>
  </si>
  <si>
    <t>00:06:33</t>
  </si>
  <si>
    <t>00:26:34</t>
  </si>
  <si>
    <t>Price bifurcation</t>
  </si>
  <si>
    <t>Additional 5% Off on UPI and PPCOD</t>
  </si>
  <si>
    <t>2026-03-11 21:29:03</t>
  </si>
  <si>
    <t>2026-03-14 22:28:31</t>
  </si>
  <si>
    <t>2026-03-12 11:13:27</t>
  </si>
  <si>
    <t>2026-03-13 09:44:58</t>
  </si>
  <si>
    <t>2026-03-14 09:44:57</t>
  </si>
  <si>
    <t>2026-03-11 21:34:32</t>
  </si>
  <si>
    <t>02:13:27</t>
  </si>
  <si>
    <t>purixawipes</t>
  </si>
  <si>
    <t>https://purixawipes.com/</t>
  </si>
  <si>
    <t>PPCOD</t>
  </si>
  <si>
    <t>Issue with Order Now Flow Adding Duplicate Items on GoKwik Checkout</t>
  </si>
  <si>
    <t>2026-03-12 07:40:48</t>
  </si>
  <si>
    <t>2026-03-19 21:59:49</t>
  </si>
  <si>
    <t>2026-03-18 13:55:22</t>
  </si>
  <si>
    <t>2026-03-19 13:44:55</t>
  </si>
  <si>
    <t>2026-03-12 09:30:36</t>
  </si>
  <si>
    <t>00:30:36</t>
  </si>
  <si>
    <t>76:55:22</t>
  </si>
  <si>
    <t>MER-10933,closed&gt;2days</t>
  </si>
  <si>
    <t>velmukha</t>
  </si>
  <si>
    <t>https://velmukha.com/</t>
  </si>
  <si>
    <t>velmukhan@gmail.com</t>
  </si>
  <si>
    <t>Rinki Bhandari sent you a message in #general on Slack</t>
  </si>
  <si>
    <t>2026-03-13 10:35:56</t>
  </si>
  <si>
    <t>2026-03-16 10:35:56</t>
  </si>
  <si>
    <t>2026-03-13 10:39:20</t>
  </si>
  <si>
    <t>2026-03-14 09:44:58</t>
  </si>
  <si>
    <t>00:03:24</t>
  </si>
  <si>
    <t>eb-t01mc3460bt-u0a1df4kykf-3mujwytjoailzaqmg74gpzeynq@slack-mail.com</t>
  </si>
  <si>
    <t>Discount code not working</t>
  </si>
  <si>
    <t>2026-03-14 14:43:19</t>
  </si>
  <si>
    <t>2026-03-23 02:04:42</t>
  </si>
  <si>
    <t>2026-03-22 12:44:54</t>
  </si>
  <si>
    <t>2026-03-23 01:44:42</t>
  </si>
  <si>
    <t>2026-03-24 00:44:51</t>
  </si>
  <si>
    <t>2026-03-14 15:17:36</t>
  </si>
  <si>
    <t>00:34:17</t>
  </si>
  <si>
    <t>94:01:35</t>
  </si>
  <si>
    <t>GKP-31712,closed&gt;2days</t>
  </si>
  <si>
    <t>grreh.in</t>
  </si>
  <si>
    <t>Re: Payment Reminder for Invoice No-GK/2025-26/35515-Ajanta Soya</t>
  </si>
  <si>
    <t>Checkout Sales Enquiry</t>
  </si>
  <si>
    <t>2026-03-16 10:26:19</t>
  </si>
  <si>
    <t>2026-03-28 12:57:48</t>
  </si>
  <si>
    <t>2026-03-25 13:08:07</t>
  </si>
  <si>
    <t>2026-03-16 10:27:58</t>
  </si>
  <si>
    <t>00:01:39</t>
  </si>
  <si>
    <t>110:41:48</t>
  </si>
  <si>
    <t>Eduhive Creative Studio</t>
  </si>
  <si>
    <t>Installation of Gokwik Slider cart</t>
  </si>
  <si>
    <t>2026-03-16 11:13:39</t>
  </si>
  <si>
    <t>2026-03-19 11:41:57</t>
  </si>
  <si>
    <t>2026-03-16 13:02:05</t>
  </si>
  <si>
    <t>2026-03-17 12:45:00</t>
  </si>
  <si>
    <t>2026-03-16 11:15:10</t>
  </si>
  <si>
    <t>00:01:31</t>
  </si>
  <si>
    <t>01:48:26</t>
  </si>
  <si>
    <t>FR,closed&gt;2days</t>
  </si>
  <si>
    <t>Saurabh</t>
  </si>
  <si>
    <t>q10jz3-e2.myshopify.com</t>
  </si>
  <si>
    <t>2026-03-16 12:36:14</t>
  </si>
  <si>
    <t>2026-03-19 12:36:14</t>
  </si>
  <si>
    <t>2026-03-16 12:50:24</t>
  </si>
  <si>
    <t>2026-03-17 12:45:01</t>
  </si>
  <si>
    <t>00:14:10</t>
  </si>
  <si>
    <t>eb-t01mc3460bt-u0a1df4kykf-b66ahy5mhancpytjpymajlwncq@slack-mail.com</t>
  </si>
  <si>
    <t>gokwik dashboard</t>
  </si>
  <si>
    <t>Feedback Widget</t>
  </si>
  <si>
    <t>2026-03-16 20:24:03</t>
  </si>
  <si>
    <t>2026-03-19 21:39:19</t>
  </si>
  <si>
    <t>2026-03-17 11:29:26</t>
  </si>
  <si>
    <t>2026-03-18 10:45:04</t>
  </si>
  <si>
    <t>2026-03-16 20:36:49</t>
  </si>
  <si>
    <t>03:05:23</t>
  </si>
  <si>
    <t>Velmukha</t>
  </si>
  <si>
    <t>velmukha.com</t>
  </si>
  <si>
    <t>Dashboard Login related</t>
  </si>
  <si>
    <t>Issue with GoKwik Checkout – Unable to Place Orders</t>
  </si>
  <si>
    <t>2026-03-17 10:29:49</t>
  </si>
  <si>
    <t>2026-03-18 06:27:34</t>
  </si>
  <si>
    <t>2026-03-26 08:37:07</t>
  </si>
  <si>
    <t>2026-03-17 11:00:54</t>
  </si>
  <si>
    <t>00:31:05</t>
  </si>
  <si>
    <t>106:30:11</t>
  </si>
  <si>
    <t>priority upgrade</t>
  </si>
  <si>
    <t>Chandana</t>
  </si>
  <si>
    <t>www.centuaryindia.com</t>
  </si>
  <si>
    <t>centuary india</t>
  </si>
  <si>
    <t>Chandana Balakrishna</t>
  </si>
  <si>
    <t>onlinesales_tgdep@centuaryindia.com</t>
  </si>
  <si>
    <t>Invitation: #3 Smart &amp; Safe Investing with Womoneysta @ Wed Mar 18, 2026 6pm - 7pm (GMT+5:30) (nonshopifybiz support)</t>
  </si>
  <si>
    <t>2026-03-17 17:59:12</t>
  </si>
  <si>
    <t>2026-03-20 17:59:12</t>
  </si>
  <si>
    <t>2026-03-18 17:45:03</t>
  </si>
  <si>
    <t>Software glitches</t>
  </si>
  <si>
    <t>2026-03-20 04:25:41</t>
  </si>
  <si>
    <t>2026-03-25 03:08:24</t>
  </si>
  <si>
    <t>2026-03-22 07:45:08</t>
  </si>
  <si>
    <t>2026-03-22 20:44:45</t>
  </si>
  <si>
    <t>2026-03-23 19:44:50</t>
  </si>
  <si>
    <t>2026-03-20 09:02:06</t>
  </si>
  <si>
    <t>00:02:06</t>
  </si>
  <si>
    <t>24:00:00</t>
  </si>
  <si>
    <t>MONTCLAIR</t>
  </si>
  <si>
    <t>https://montclairindia.com/</t>
  </si>
  <si>
    <t>itsyourmontclair@gmail.com</t>
  </si>
  <si>
    <t>Sneha Kumari sent you a message in #general on Slack</t>
  </si>
  <si>
    <t>2026-03-20 09:32:52</t>
  </si>
  <si>
    <t>2026-03-23 09:32:52</t>
  </si>
  <si>
    <t>2026-03-20 09:37:23</t>
  </si>
  <si>
    <t>2026-03-21 08:44:52</t>
  </si>
  <si>
    <t>00:04:31</t>
  </si>
  <si>
    <t>eb-t01mc3460bt-u0a1df4kykf-6ooktkje62mnazmyykcs72ebmq@slack-mail.com</t>
  </si>
  <si>
    <t>URGENT: GoKwik Checkout Not Working – Loss of Sales</t>
  </si>
  <si>
    <t>2026-03-21 15:58:23</t>
  </si>
  <si>
    <t>2026-03-22 22:12:03</t>
  </si>
  <si>
    <t>2026-03-22 10:39:06</t>
  </si>
  <si>
    <t>2026-03-23 09:44:46</t>
  </si>
  <si>
    <t>2026-03-21 16:25:18</t>
  </si>
  <si>
    <t>00:26:55</t>
  </si>
  <si>
    <t>06:40:43</t>
  </si>
  <si>
    <t>earthybyellenza</t>
  </si>
  <si>
    <t>https://earthybyellenza.com/</t>
  </si>
  <si>
    <t>Earthy By Ellenza</t>
  </si>
  <si>
    <t>earthybyellenza@gmail.com</t>
  </si>
  <si>
    <t>2026-03-23 12:16:15</t>
  </si>
  <si>
    <t>2026-03-26 12:16:15</t>
  </si>
  <si>
    <t>2026-03-23 12:16:52</t>
  </si>
  <si>
    <t>2026-03-24 11:45:01</t>
  </si>
  <si>
    <t>00:00:37</t>
  </si>
  <si>
    <t>eb-t01mc3460bt-u0a1df4kykf-4gjppeoj7uktykxl6zhhf7al74@slack-mail.com</t>
  </si>
  <si>
    <t>GSTIN Verification Status &amp; Discount Discrepancy in GoKwik Flows</t>
  </si>
  <si>
    <t>2026-03-23 21:55:15</t>
  </si>
  <si>
    <t>2026-03-27 08:01:32</t>
  </si>
  <si>
    <t>2026-03-24 19:57:48</t>
  </si>
  <si>
    <t>2026-03-25 19:44:57</t>
  </si>
  <si>
    <t>2026-03-24 09:52:44</t>
  </si>
  <si>
    <t>00:52:44</t>
  </si>
  <si>
    <t>10:57:48</t>
  </si>
  <si>
    <t>Akshay</t>
  </si>
  <si>
    <t>fotovilla</t>
  </si>
  <si>
    <t>fotovilla.in</t>
  </si>
  <si>
    <t>GST Verification</t>
  </si>
  <si>
    <t>fotovillaindia</t>
  </si>
  <si>
    <t>fotovillaindia@gmail.com</t>
  </si>
  <si>
    <t>Buy Now Button Issue</t>
  </si>
  <si>
    <t>2026-03-24 12:19:55</t>
  </si>
  <si>
    <t>2026-03-27 20:06:13</t>
  </si>
  <si>
    <t>2026-03-25 12:35:15</t>
  </si>
  <si>
    <t>2026-03-24 12:47:37</t>
  </si>
  <si>
    <t>00:27:42</t>
  </si>
  <si>
    <t>12:15:20</t>
  </si>
  <si>
    <t>Unable to access dashboard</t>
  </si>
  <si>
    <t>2026-03-24 16:25:17</t>
  </si>
  <si>
    <t>2026-03-27 19:53:11</t>
  </si>
  <si>
    <t>2026-03-24 22:53:11</t>
  </si>
  <si>
    <t>2026-03-25 22:44:51</t>
  </si>
  <si>
    <t>2026-03-24 17:07:09</t>
  </si>
  <si>
    <t>00:41:52</t>
  </si>
  <si>
    <t>04:34:43</t>
  </si>
  <si>
    <t>veda pro</t>
  </si>
  <si>
    <t>Vivek Kumar</t>
  </si>
  <si>
    <t>vivek97222@gmail.com</t>
  </si>
  <si>
    <t>Hi Team, We are setting up a Google Apps Script based webhook receiver to capture GoKwik payment and refund events into Google Sheets for internal reconciliation and monitoring. Please help us enable webhook delivery for the following events to our endpoi</t>
  </si>
  <si>
    <t>2026-03-24 21:11:40</t>
  </si>
  <si>
    <t>2026-03-28 06:08:32</t>
  </si>
  <si>
    <t>2026-03-25 19:13:21</t>
  </si>
  <si>
    <t>2026-03-25 09:24:16</t>
  </si>
  <si>
    <t>00:24:16</t>
  </si>
  <si>
    <t>10:13:21</t>
  </si>
  <si>
    <t>Sourav</t>
  </si>
  <si>
    <t>kuberbox</t>
  </si>
  <si>
    <t>Sourav Lodha</t>
  </si>
  <si>
    <t>sourav@kuberbox.com</t>
  </si>
  <si>
    <t>[The Socialite Store] Login Details</t>
  </si>
  <si>
    <t>2026-03-24 23:56:46</t>
  </si>
  <si>
    <t>2026-03-28 03:43:40</t>
  </si>
  <si>
    <t>2026-03-25 13:06:18</t>
  </si>
  <si>
    <t>2026-03-25 09:19:06</t>
  </si>
  <si>
    <t>00:19:06</t>
  </si>
  <si>
    <t>04:06:18</t>
  </si>
  <si>
    <t>Socialite</t>
  </si>
  <si>
    <t>WordPress</t>
  </si>
  <si>
    <t>wordpress@store.itssocialite.com</t>
  </si>
  <si>
    <t>GOKWICK Checkout not working| BRAND - PURIXA</t>
  </si>
  <si>
    <t>Waiting on merchant's response</t>
  </si>
  <si>
    <t>2026-03-25 12:08:36</t>
  </si>
  <si>
    <t>2026-03-26 04:18:08</t>
  </si>
  <si>
    <t>2026-03-25 19:07:35</t>
  </si>
  <si>
    <t>2026-03-25 12:38:27</t>
  </si>
  <si>
    <t>00:29:51</t>
  </si>
  <si>
    <t>priority upgrade,GKP-31996</t>
  </si>
  <si>
    <t>https://purixawipes.com</t>
  </si>
  <si>
    <t>purixawipes.com</t>
  </si>
  <si>
    <t>2026-03-25 17:30:52</t>
  </si>
  <si>
    <t>2026-03-28 17:30:52</t>
  </si>
  <si>
    <t>2026-03-25 17:31:59</t>
  </si>
  <si>
    <t>00:01:07</t>
  </si>
  <si>
    <t>eb-t01mc3460bt-u0a1df4kykf-dv5w24dk7pz5prn3zr3moq7n4u@slack-mail.com</t>
  </si>
  <si>
    <t>2026-03-25 18:16:10</t>
  </si>
  <si>
    <t>2026-03-28 18:16:10</t>
  </si>
  <si>
    <t>2026-03-25 18:24:50</t>
  </si>
  <si>
    <t>00:08:40</t>
  </si>
  <si>
    <t>eb-t01mc3460bt-u0a1df4kykf-cu4x3q4pajzz646lx7zq5vxhmu@slack-mail.com</t>
  </si>
  <si>
    <t>First response time (in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</si>
</sst>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6100"/>
      <name val="Aptos Narrow"/>
      <family val="2"/>
      <scheme val="minor"/>
    </font>
    <font>
      <sz val="11"/>
      <color indexed="17"/>
      <name val="Aptos Narrow"/>
      <family val="2"/>
    </font>
    <font>
      <sz val="8"/>
      <name val="Aptos Narrow"/>
      <family val="2"/>
      <scheme val="minor"/>
    </font>
  </fonts>
  <fills count="4">
    <fill>
      <patternFill patternType="none"/>
    </fill>
    <fill>
      <patternFill patternType="gray125"/>
    </fill>
    <fill>
      <patternFill patternType="solid">
        <fgColor rgb="FFC6EFCE"/>
      </patternFill>
    </fill>
    <fill>
      <patternFill patternType="solid">
        <fgColor rgb="FFC6EFCE"/>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2" fillId="3" borderId="0" xfId="1" applyFont="1" applyFill="1"/>
    <xf numFmtId="1" fontId="0" fillId="0" borderId="0" xfId="0" applyNumberForma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CC62-484F-4BEA-A9DF-092FA4C61490}">
  <dimension ref="A1:BN152"/>
  <sheetViews>
    <sheetView tabSelected="1" topLeftCell="D121" workbookViewId="0">
      <selection activeCell="R168" sqref="R167:R168"/>
    </sheetView>
  </sheetViews>
  <sheetFormatPr defaultRowHeight="14.5" x14ac:dyDescent="0.35"/>
  <cols>
    <col min="1" max="1" width="7.81640625" bestFit="1" customWidth="1"/>
    <col min="2" max="2" width="210.26953125" bestFit="1" customWidth="1"/>
    <col min="3" max="3" width="26.90625" bestFit="1" customWidth="1"/>
    <col min="4" max="4" width="7.26953125" bestFit="1" customWidth="1"/>
    <col min="5" max="5" width="14.81640625" bestFit="1" customWidth="1"/>
    <col min="6" max="6" width="23.6328125" bestFit="1" customWidth="1"/>
    <col min="7" max="7" width="11.81640625" bestFit="1" customWidth="1"/>
    <col min="8" max="8" width="17.08984375" bestFit="1" customWidth="1"/>
    <col min="9" max="14" width="17.7265625" bestFit="1" customWidth="1"/>
    <col min="15" max="15" width="11.26953125" bestFit="1" customWidth="1"/>
    <col min="16" max="16" width="22.54296875" bestFit="1" customWidth="1"/>
    <col min="17" max="17" width="22.54296875" hidden="1" customWidth="1"/>
    <col min="18" max="18" width="22.54296875" customWidth="1"/>
    <col min="19" max="19" width="19.54296875" hidden="1" customWidth="1"/>
    <col min="20" max="20" width="15.6328125" bestFit="1" customWidth="1"/>
    <col min="21" max="21" width="19.08984375" bestFit="1" customWidth="1"/>
    <col min="22" max="22" width="14.90625" bestFit="1" customWidth="1"/>
    <col min="23" max="23" width="17.90625" bestFit="1" customWidth="1"/>
    <col min="24" max="24" width="32.6328125" bestFit="1" customWidth="1"/>
    <col min="25" max="25" width="18.54296875" bestFit="1" customWidth="1"/>
    <col min="26" max="26" width="14.1796875" bestFit="1" customWidth="1"/>
    <col min="27" max="28" width="11.90625" bestFit="1" customWidth="1"/>
    <col min="29" max="29" width="18.54296875" bestFit="1" customWidth="1"/>
    <col min="30" max="30" width="12.90625" bestFit="1" customWidth="1"/>
    <col min="31" max="31" width="22.26953125" bestFit="1" customWidth="1"/>
    <col min="32" max="32" width="12.90625" bestFit="1" customWidth="1"/>
    <col min="33" max="33" width="9.36328125" bestFit="1" customWidth="1"/>
    <col min="34" max="34" width="32.08984375" bestFit="1" customWidth="1"/>
    <col min="35" max="35" width="25" bestFit="1" customWidth="1"/>
    <col min="36" max="36" width="21.453125" bestFit="1" customWidth="1"/>
    <col min="37" max="37" width="24.1796875" bestFit="1" customWidth="1"/>
    <col min="38" max="38" width="18" bestFit="1" customWidth="1"/>
    <col min="39" max="39" width="20.1796875" bestFit="1" customWidth="1"/>
    <col min="40" max="40" width="23.453125" bestFit="1" customWidth="1"/>
    <col min="41" max="41" width="21.08984375" bestFit="1" customWidth="1"/>
    <col min="42" max="42" width="9.453125" bestFit="1" customWidth="1"/>
    <col min="43" max="43" width="19.54296875" bestFit="1" customWidth="1"/>
    <col min="44" max="44" width="21.1796875" bestFit="1" customWidth="1"/>
    <col min="45" max="45" width="5" bestFit="1" customWidth="1"/>
    <col min="46" max="46" width="20.54296875" bestFit="1" customWidth="1"/>
    <col min="47" max="47" width="17.26953125" bestFit="1" customWidth="1"/>
    <col min="48" max="48" width="13.08984375" bestFit="1" customWidth="1"/>
    <col min="49" max="49" width="14.1796875" bestFit="1" customWidth="1"/>
    <col min="50" max="50" width="12.90625" bestFit="1" customWidth="1"/>
    <col min="51" max="51" width="10.54296875" bestFit="1" customWidth="1"/>
    <col min="52" max="52" width="13.453125" bestFit="1" customWidth="1"/>
    <col min="53" max="53" width="13.1796875" bestFit="1" customWidth="1"/>
    <col min="54" max="54" width="10.90625" bestFit="1" customWidth="1"/>
    <col min="55" max="55" width="19.453125" bestFit="1" customWidth="1"/>
    <col min="56" max="56" width="14.26953125" bestFit="1" customWidth="1"/>
    <col min="57" max="57" width="12.1796875" bestFit="1" customWidth="1"/>
    <col min="58" max="58" width="18.6328125" bestFit="1" customWidth="1"/>
    <col min="59" max="59" width="16.54296875" bestFit="1" customWidth="1"/>
    <col min="60" max="60" width="16.26953125" bestFit="1" customWidth="1"/>
    <col min="61" max="61" width="20.453125" bestFit="1" customWidth="1"/>
    <col min="62" max="62" width="20.1796875" bestFit="1" customWidth="1"/>
    <col min="63" max="63" width="14.90625" bestFit="1" customWidth="1"/>
    <col min="64" max="64" width="24.54296875" bestFit="1" customWidth="1"/>
    <col min="65" max="65" width="32.08984375" bestFit="1" customWidth="1"/>
    <col min="66" max="66" width="66.453125" bestFit="1" customWidth="1"/>
  </cols>
  <sheetData>
    <row r="1" spans="1:6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1515</v>
      </c>
      <c r="Q1" s="1" t="s">
        <v>15</v>
      </c>
      <c r="R1" s="1" t="s">
        <v>16</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row>
    <row r="2" spans="1:66" x14ac:dyDescent="0.35">
      <c r="A2">
        <v>175214</v>
      </c>
      <c r="B2" t="s">
        <v>64</v>
      </c>
      <c r="C2" t="s">
        <v>65</v>
      </c>
      <c r="D2" t="s">
        <v>66</v>
      </c>
      <c r="E2" t="s">
        <v>67</v>
      </c>
      <c r="F2" t="s">
        <v>68</v>
      </c>
      <c r="G2" t="s">
        <v>69</v>
      </c>
      <c r="H2" t="s">
        <v>70</v>
      </c>
      <c r="I2" t="s">
        <v>71</v>
      </c>
      <c r="J2" t="s">
        <v>72</v>
      </c>
      <c r="K2" t="s">
        <v>73</v>
      </c>
      <c r="L2" t="s">
        <v>74</v>
      </c>
      <c r="M2" t="s">
        <v>75</v>
      </c>
      <c r="N2" t="s">
        <v>76</v>
      </c>
      <c r="O2" t="s">
        <v>77</v>
      </c>
      <c r="P2" s="2">
        <f>Q2*1440</f>
        <v>0</v>
      </c>
      <c r="Q2" t="s">
        <v>78</v>
      </c>
      <c r="R2" s="2">
        <f>S2*24</f>
        <v>17.74861111111111</v>
      </c>
      <c r="S2" t="s">
        <v>79</v>
      </c>
      <c r="T2">
        <v>1</v>
      </c>
      <c r="U2">
        <v>1</v>
      </c>
      <c r="V2" t="s">
        <v>80</v>
      </c>
      <c r="W2" t="s">
        <v>80</v>
      </c>
      <c r="X2" t="s">
        <v>81</v>
      </c>
      <c r="Y2" t="s">
        <v>82</v>
      </c>
      <c r="Z2" t="s">
        <v>82</v>
      </c>
      <c r="AA2" t="s">
        <v>83</v>
      </c>
      <c r="AB2" t="s">
        <v>84</v>
      </c>
      <c r="AC2" t="s">
        <v>82</v>
      </c>
      <c r="AD2" t="s">
        <v>85</v>
      </c>
      <c r="AE2" t="s">
        <v>86</v>
      </c>
      <c r="AF2" t="s">
        <v>82</v>
      </c>
      <c r="AG2" t="s">
        <v>87</v>
      </c>
      <c r="AH2" t="s">
        <v>82</v>
      </c>
      <c r="AI2" t="s">
        <v>86</v>
      </c>
      <c r="AJ2" t="s">
        <v>82</v>
      </c>
      <c r="AK2" t="s">
        <v>82</v>
      </c>
      <c r="AL2" t="s">
        <v>82</v>
      </c>
      <c r="AM2" t="s">
        <v>82</v>
      </c>
      <c r="AN2" t="s">
        <v>82</v>
      </c>
      <c r="AO2" t="s">
        <v>82</v>
      </c>
      <c r="AP2" t="s">
        <v>82</v>
      </c>
      <c r="AQ2" t="s">
        <v>82</v>
      </c>
      <c r="AR2" t="s">
        <v>82</v>
      </c>
      <c r="AS2" t="s">
        <v>88</v>
      </c>
      <c r="AT2" t="s">
        <v>89</v>
      </c>
      <c r="AU2" t="s">
        <v>6</v>
      </c>
      <c r="AV2" t="s">
        <v>90</v>
      </c>
      <c r="AW2" t="s">
        <v>91</v>
      </c>
      <c r="AX2" t="s">
        <v>82</v>
      </c>
      <c r="AY2" t="s">
        <v>82</v>
      </c>
      <c r="AZ2" t="s">
        <v>90</v>
      </c>
      <c r="BA2" t="s">
        <v>90</v>
      </c>
      <c r="BB2" t="s">
        <v>91</v>
      </c>
      <c r="BC2" t="s">
        <v>91</v>
      </c>
      <c r="BD2" t="s">
        <v>82</v>
      </c>
      <c r="BE2" t="s">
        <v>90</v>
      </c>
      <c r="BF2" t="s">
        <v>82</v>
      </c>
      <c r="BG2" t="s">
        <v>82</v>
      </c>
      <c r="BH2" t="s">
        <v>82</v>
      </c>
      <c r="BI2" t="s">
        <v>82</v>
      </c>
      <c r="BJ2" t="s">
        <v>82</v>
      </c>
      <c r="BK2" t="s">
        <v>82</v>
      </c>
      <c r="BL2" t="s">
        <v>90</v>
      </c>
      <c r="BM2" t="s">
        <v>92</v>
      </c>
      <c r="BN2" t="s">
        <v>93</v>
      </c>
    </row>
    <row r="3" spans="1:66" x14ac:dyDescent="0.35">
      <c r="A3">
        <v>175953</v>
      </c>
      <c r="B3" t="s">
        <v>94</v>
      </c>
      <c r="C3" t="s">
        <v>65</v>
      </c>
      <c r="D3" t="s">
        <v>66</v>
      </c>
      <c r="E3" t="s">
        <v>95</v>
      </c>
      <c r="F3" t="s">
        <v>68</v>
      </c>
      <c r="G3" t="s">
        <v>69</v>
      </c>
      <c r="H3" t="s">
        <v>70</v>
      </c>
      <c r="I3" t="s">
        <v>96</v>
      </c>
      <c r="J3" t="s">
        <v>97</v>
      </c>
      <c r="K3" t="s">
        <v>98</v>
      </c>
      <c r="L3" t="s">
        <v>99</v>
      </c>
      <c r="M3" t="s">
        <v>100</v>
      </c>
      <c r="N3" t="s">
        <v>101</v>
      </c>
      <c r="O3" t="s">
        <v>77</v>
      </c>
      <c r="P3" s="2">
        <f t="shared" ref="P3:P66" si="0">Q3*1440</f>
        <v>2.7166666666666668</v>
      </c>
      <c r="Q3" t="s">
        <v>102</v>
      </c>
      <c r="R3" s="2">
        <f t="shared" ref="R3:R66" si="1">S3*24</f>
        <v>22.698611111111113</v>
      </c>
      <c r="S3" t="s">
        <v>103</v>
      </c>
      <c r="T3">
        <v>1</v>
      </c>
      <c r="U3">
        <v>2</v>
      </c>
      <c r="V3" t="s">
        <v>80</v>
      </c>
      <c r="W3" t="s">
        <v>80</v>
      </c>
      <c r="X3" t="s">
        <v>81</v>
      </c>
      <c r="Y3" t="s">
        <v>82</v>
      </c>
      <c r="Z3" t="s">
        <v>82</v>
      </c>
      <c r="AA3" t="s">
        <v>83</v>
      </c>
      <c r="AB3" t="s">
        <v>84</v>
      </c>
      <c r="AC3" t="s">
        <v>82</v>
      </c>
      <c r="AD3" t="s">
        <v>85</v>
      </c>
      <c r="AE3" t="s">
        <v>104</v>
      </c>
      <c r="AF3" t="s">
        <v>82</v>
      </c>
      <c r="AG3" t="s">
        <v>87</v>
      </c>
      <c r="AH3" t="s">
        <v>104</v>
      </c>
      <c r="AI3" t="s">
        <v>105</v>
      </c>
      <c r="AJ3" t="s">
        <v>82</v>
      </c>
      <c r="AK3" t="s">
        <v>82</v>
      </c>
      <c r="AL3" t="s">
        <v>82</v>
      </c>
      <c r="AM3" t="s">
        <v>82</v>
      </c>
      <c r="AN3" t="s">
        <v>82</v>
      </c>
      <c r="AO3" t="s">
        <v>82</v>
      </c>
      <c r="AP3" t="s">
        <v>82</v>
      </c>
      <c r="AQ3" t="s">
        <v>82</v>
      </c>
      <c r="AR3" t="s">
        <v>82</v>
      </c>
      <c r="AS3" t="s">
        <v>88</v>
      </c>
      <c r="AT3" t="s">
        <v>104</v>
      </c>
      <c r="AU3" t="s">
        <v>106</v>
      </c>
      <c r="AV3" t="s">
        <v>90</v>
      </c>
      <c r="AW3" t="s">
        <v>91</v>
      </c>
      <c r="AX3" t="s">
        <v>82</v>
      </c>
      <c r="AY3" t="s">
        <v>82</v>
      </c>
      <c r="AZ3" t="s">
        <v>90</v>
      </c>
      <c r="BA3" t="s">
        <v>90</v>
      </c>
      <c r="BB3" t="s">
        <v>91</v>
      </c>
      <c r="BC3" t="s">
        <v>91</v>
      </c>
      <c r="BD3" t="s">
        <v>82</v>
      </c>
      <c r="BE3" t="s">
        <v>91</v>
      </c>
      <c r="BF3" t="s">
        <v>82</v>
      </c>
      <c r="BG3" t="s">
        <v>82</v>
      </c>
      <c r="BH3" t="s">
        <v>82</v>
      </c>
      <c r="BI3" t="s">
        <v>82</v>
      </c>
      <c r="BJ3" t="s">
        <v>82</v>
      </c>
      <c r="BK3" t="s">
        <v>82</v>
      </c>
      <c r="BL3" t="s">
        <v>90</v>
      </c>
      <c r="BM3" t="s">
        <v>104</v>
      </c>
      <c r="BN3" t="s">
        <v>107</v>
      </c>
    </row>
    <row r="4" spans="1:66" x14ac:dyDescent="0.35">
      <c r="A4">
        <v>176166</v>
      </c>
      <c r="B4" t="s">
        <v>108</v>
      </c>
      <c r="C4" t="s">
        <v>65</v>
      </c>
      <c r="D4" t="s">
        <v>66</v>
      </c>
      <c r="E4" t="s">
        <v>95</v>
      </c>
      <c r="F4" t="s">
        <v>109</v>
      </c>
      <c r="G4" t="s">
        <v>69</v>
      </c>
      <c r="H4" t="s">
        <v>70</v>
      </c>
      <c r="I4" t="s">
        <v>110</v>
      </c>
      <c r="J4" t="s">
        <v>111</v>
      </c>
      <c r="K4" t="s">
        <v>112</v>
      </c>
      <c r="L4" t="s">
        <v>113</v>
      </c>
      <c r="M4" t="s">
        <v>114</v>
      </c>
      <c r="N4" t="s">
        <v>115</v>
      </c>
      <c r="O4" t="s">
        <v>77</v>
      </c>
      <c r="P4" s="2">
        <f t="shared" si="0"/>
        <v>8.2999999999999989</v>
      </c>
      <c r="Q4" t="s">
        <v>116</v>
      </c>
      <c r="R4" s="2">
        <f t="shared" si="1"/>
        <v>23.89</v>
      </c>
      <c r="S4" t="s">
        <v>117</v>
      </c>
      <c r="T4">
        <v>1</v>
      </c>
      <c r="U4">
        <v>1</v>
      </c>
      <c r="V4" t="s">
        <v>80</v>
      </c>
      <c r="W4" t="s">
        <v>80</v>
      </c>
      <c r="X4" t="s">
        <v>81</v>
      </c>
      <c r="Y4" t="s">
        <v>82</v>
      </c>
      <c r="Z4" t="s">
        <v>82</v>
      </c>
      <c r="AA4" t="s">
        <v>83</v>
      </c>
      <c r="AB4" t="s">
        <v>84</v>
      </c>
      <c r="AC4" t="s">
        <v>82</v>
      </c>
      <c r="AD4" t="s">
        <v>85</v>
      </c>
      <c r="AE4" t="s">
        <v>118</v>
      </c>
      <c r="AF4" t="s">
        <v>82</v>
      </c>
      <c r="AG4" t="s">
        <v>87</v>
      </c>
      <c r="AH4" t="s">
        <v>119</v>
      </c>
      <c r="AI4" t="s">
        <v>120</v>
      </c>
      <c r="AJ4" t="s">
        <v>82</v>
      </c>
      <c r="AK4" t="s">
        <v>82</v>
      </c>
      <c r="AL4" t="s">
        <v>82</v>
      </c>
      <c r="AM4" t="s">
        <v>82</v>
      </c>
      <c r="AN4" t="s">
        <v>82</v>
      </c>
      <c r="AO4" t="s">
        <v>82</v>
      </c>
      <c r="AP4" t="s">
        <v>82</v>
      </c>
      <c r="AQ4" t="s">
        <v>82</v>
      </c>
      <c r="AR4" t="s">
        <v>82</v>
      </c>
      <c r="AS4" t="s">
        <v>88</v>
      </c>
      <c r="AT4" t="s">
        <v>119</v>
      </c>
      <c r="AU4" t="s">
        <v>6</v>
      </c>
      <c r="AV4" t="s">
        <v>90</v>
      </c>
      <c r="AW4" t="s">
        <v>91</v>
      </c>
      <c r="AX4" t="s">
        <v>82</v>
      </c>
      <c r="AY4" t="s">
        <v>82</v>
      </c>
      <c r="AZ4" t="s">
        <v>90</v>
      </c>
      <c r="BA4" t="s">
        <v>90</v>
      </c>
      <c r="BB4" t="s">
        <v>91</v>
      </c>
      <c r="BC4" t="s">
        <v>91</v>
      </c>
      <c r="BD4" t="s">
        <v>82</v>
      </c>
      <c r="BE4" t="s">
        <v>90</v>
      </c>
      <c r="BF4" t="s">
        <v>82</v>
      </c>
      <c r="BG4" t="s">
        <v>82</v>
      </c>
      <c r="BH4" t="s">
        <v>82</v>
      </c>
      <c r="BI4" t="s">
        <v>82</v>
      </c>
      <c r="BJ4" t="s">
        <v>82</v>
      </c>
      <c r="BK4" t="s">
        <v>82</v>
      </c>
      <c r="BL4" t="s">
        <v>90</v>
      </c>
      <c r="BM4" t="s">
        <v>118</v>
      </c>
      <c r="BN4" t="s">
        <v>121</v>
      </c>
    </row>
    <row r="5" spans="1:66" x14ac:dyDescent="0.35">
      <c r="A5">
        <v>176180</v>
      </c>
      <c r="B5" t="s">
        <v>122</v>
      </c>
      <c r="C5" t="s">
        <v>65</v>
      </c>
      <c r="D5" t="s">
        <v>66</v>
      </c>
      <c r="E5" t="s">
        <v>67</v>
      </c>
      <c r="F5" t="s">
        <v>123</v>
      </c>
      <c r="G5" t="s">
        <v>69</v>
      </c>
      <c r="H5" t="s">
        <v>70</v>
      </c>
      <c r="I5" t="s">
        <v>124</v>
      </c>
      <c r="J5" t="s">
        <v>125</v>
      </c>
      <c r="K5" t="s">
        <v>126</v>
      </c>
      <c r="L5" t="s">
        <v>126</v>
      </c>
      <c r="M5" t="s">
        <v>127</v>
      </c>
      <c r="N5" t="s">
        <v>82</v>
      </c>
      <c r="O5" t="s">
        <v>77</v>
      </c>
      <c r="P5" s="2">
        <f t="shared" si="0"/>
        <v>0</v>
      </c>
      <c r="Q5" t="s">
        <v>78</v>
      </c>
      <c r="R5" s="2">
        <f t="shared" si="1"/>
        <v>0.11638888888888888</v>
      </c>
      <c r="S5" t="s">
        <v>128</v>
      </c>
      <c r="T5">
        <v>0</v>
      </c>
      <c r="U5">
        <v>3</v>
      </c>
      <c r="V5" t="s">
        <v>80</v>
      </c>
      <c r="W5" t="s">
        <v>82</v>
      </c>
      <c r="X5" t="s">
        <v>81</v>
      </c>
      <c r="Y5" t="s">
        <v>82</v>
      </c>
      <c r="Z5" t="s">
        <v>82</v>
      </c>
      <c r="AA5" t="s">
        <v>83</v>
      </c>
      <c r="AB5" t="s">
        <v>84</v>
      </c>
      <c r="AC5" t="s">
        <v>82</v>
      </c>
      <c r="AD5" t="s">
        <v>85</v>
      </c>
      <c r="AE5" t="s">
        <v>82</v>
      </c>
      <c r="AF5" t="s">
        <v>82</v>
      </c>
      <c r="AG5" t="s">
        <v>87</v>
      </c>
      <c r="AH5" t="s">
        <v>82</v>
      </c>
      <c r="AI5" t="s">
        <v>129</v>
      </c>
      <c r="AJ5" t="s">
        <v>82</v>
      </c>
      <c r="AK5" t="s">
        <v>82</v>
      </c>
      <c r="AL5" t="s">
        <v>82</v>
      </c>
      <c r="AM5" t="s">
        <v>82</v>
      </c>
      <c r="AN5" t="s">
        <v>82</v>
      </c>
      <c r="AO5" t="s">
        <v>82</v>
      </c>
      <c r="AP5" t="s">
        <v>82</v>
      </c>
      <c r="AQ5" t="s">
        <v>82</v>
      </c>
      <c r="AR5" t="s">
        <v>82</v>
      </c>
      <c r="AS5" t="s">
        <v>130</v>
      </c>
      <c r="AT5" t="s">
        <v>129</v>
      </c>
      <c r="AU5" t="s">
        <v>106</v>
      </c>
      <c r="AV5" t="s">
        <v>90</v>
      </c>
      <c r="AW5" t="s">
        <v>90</v>
      </c>
      <c r="AX5" t="s">
        <v>82</v>
      </c>
      <c r="AY5" t="s">
        <v>82</v>
      </c>
      <c r="AZ5" t="s">
        <v>90</v>
      </c>
      <c r="BA5" t="s">
        <v>90</v>
      </c>
      <c r="BB5" t="s">
        <v>90</v>
      </c>
      <c r="BC5" t="s">
        <v>90</v>
      </c>
      <c r="BD5" t="s">
        <v>82</v>
      </c>
      <c r="BE5" t="s">
        <v>91</v>
      </c>
      <c r="BF5" t="s">
        <v>82</v>
      </c>
      <c r="BG5" t="s">
        <v>82</v>
      </c>
      <c r="BH5" t="s">
        <v>82</v>
      </c>
      <c r="BI5" t="s">
        <v>82</v>
      </c>
      <c r="BJ5" t="s">
        <v>82</v>
      </c>
      <c r="BK5" t="s">
        <v>82</v>
      </c>
      <c r="BL5" t="s">
        <v>90</v>
      </c>
      <c r="BM5" t="s">
        <v>131</v>
      </c>
      <c r="BN5" t="s">
        <v>132</v>
      </c>
    </row>
    <row r="6" spans="1:66" x14ac:dyDescent="0.35">
      <c r="A6">
        <v>176278</v>
      </c>
      <c r="B6" t="s">
        <v>133</v>
      </c>
      <c r="C6" t="s">
        <v>65</v>
      </c>
      <c r="D6" t="s">
        <v>66</v>
      </c>
      <c r="E6" t="s">
        <v>67</v>
      </c>
      <c r="F6" t="s">
        <v>123</v>
      </c>
      <c r="G6" t="s">
        <v>69</v>
      </c>
      <c r="H6" t="s">
        <v>70</v>
      </c>
      <c r="I6" t="s">
        <v>134</v>
      </c>
      <c r="J6" t="s">
        <v>135</v>
      </c>
      <c r="K6" t="s">
        <v>136</v>
      </c>
      <c r="L6" t="s">
        <v>136</v>
      </c>
      <c r="M6" t="s">
        <v>137</v>
      </c>
      <c r="N6" t="s">
        <v>82</v>
      </c>
      <c r="O6" t="s">
        <v>77</v>
      </c>
      <c r="P6" s="2">
        <f t="shared" si="0"/>
        <v>0</v>
      </c>
      <c r="Q6" t="s">
        <v>78</v>
      </c>
      <c r="R6" s="2">
        <f t="shared" si="1"/>
        <v>1.0508333333333333</v>
      </c>
      <c r="S6" t="s">
        <v>138</v>
      </c>
      <c r="T6">
        <v>0</v>
      </c>
      <c r="U6">
        <v>1</v>
      </c>
      <c r="V6" t="s">
        <v>80</v>
      </c>
      <c r="W6" t="s">
        <v>82</v>
      </c>
      <c r="X6" t="s">
        <v>81</v>
      </c>
      <c r="Y6" t="s">
        <v>82</v>
      </c>
      <c r="Z6" t="s">
        <v>82</v>
      </c>
      <c r="AA6" t="s">
        <v>83</v>
      </c>
      <c r="AB6" t="s">
        <v>84</v>
      </c>
      <c r="AC6" t="s">
        <v>82</v>
      </c>
      <c r="AD6" t="s">
        <v>85</v>
      </c>
      <c r="AE6" t="s">
        <v>82</v>
      </c>
      <c r="AF6" t="s">
        <v>82</v>
      </c>
      <c r="AG6" t="s">
        <v>87</v>
      </c>
      <c r="AH6" t="s">
        <v>82</v>
      </c>
      <c r="AI6" t="s">
        <v>129</v>
      </c>
      <c r="AJ6" t="s">
        <v>82</v>
      </c>
      <c r="AK6" t="s">
        <v>82</v>
      </c>
      <c r="AL6" t="s">
        <v>82</v>
      </c>
      <c r="AM6" t="s">
        <v>82</v>
      </c>
      <c r="AN6" t="s">
        <v>82</v>
      </c>
      <c r="AO6" t="s">
        <v>82</v>
      </c>
      <c r="AP6" t="s">
        <v>82</v>
      </c>
      <c r="AQ6" t="s">
        <v>82</v>
      </c>
      <c r="AR6" t="s">
        <v>82</v>
      </c>
      <c r="AS6" t="s">
        <v>130</v>
      </c>
      <c r="AT6" t="s">
        <v>129</v>
      </c>
      <c r="AU6" t="s">
        <v>82</v>
      </c>
      <c r="AV6" t="s">
        <v>90</v>
      </c>
      <c r="AW6" t="s">
        <v>90</v>
      </c>
      <c r="AX6" t="s">
        <v>82</v>
      </c>
      <c r="AY6" t="s">
        <v>82</v>
      </c>
      <c r="AZ6" t="s">
        <v>90</v>
      </c>
      <c r="BA6" t="s">
        <v>90</v>
      </c>
      <c r="BB6" t="s">
        <v>90</v>
      </c>
      <c r="BC6" t="s">
        <v>90</v>
      </c>
      <c r="BD6" t="s">
        <v>82</v>
      </c>
      <c r="BE6" t="s">
        <v>90</v>
      </c>
      <c r="BF6" t="s">
        <v>82</v>
      </c>
      <c r="BG6" t="s">
        <v>82</v>
      </c>
      <c r="BH6" t="s">
        <v>82</v>
      </c>
      <c r="BI6" t="s">
        <v>82</v>
      </c>
      <c r="BJ6" t="s">
        <v>82</v>
      </c>
      <c r="BK6" t="s">
        <v>82</v>
      </c>
      <c r="BL6" t="s">
        <v>90</v>
      </c>
      <c r="BM6" t="s">
        <v>139</v>
      </c>
      <c r="BN6" t="s">
        <v>140</v>
      </c>
    </row>
    <row r="7" spans="1:66" x14ac:dyDescent="0.35">
      <c r="A7">
        <v>176340</v>
      </c>
      <c r="B7" t="s">
        <v>141</v>
      </c>
      <c r="C7" t="s">
        <v>65</v>
      </c>
      <c r="D7" t="s">
        <v>66</v>
      </c>
      <c r="E7" t="s">
        <v>67</v>
      </c>
      <c r="F7" t="s">
        <v>123</v>
      </c>
      <c r="G7" t="s">
        <v>69</v>
      </c>
      <c r="H7" t="s">
        <v>70</v>
      </c>
      <c r="I7" t="s">
        <v>142</v>
      </c>
      <c r="J7" t="s">
        <v>143</v>
      </c>
      <c r="K7" t="s">
        <v>144</v>
      </c>
      <c r="L7" t="s">
        <v>144</v>
      </c>
      <c r="M7" t="s">
        <v>145</v>
      </c>
      <c r="N7" t="s">
        <v>82</v>
      </c>
      <c r="O7" t="s">
        <v>77</v>
      </c>
      <c r="P7" s="2">
        <f t="shared" si="0"/>
        <v>0</v>
      </c>
      <c r="Q7" t="s">
        <v>78</v>
      </c>
      <c r="R7" s="2">
        <f t="shared" si="1"/>
        <v>6.777777777777777E-2</v>
      </c>
      <c r="S7" t="s">
        <v>146</v>
      </c>
      <c r="T7">
        <v>0</v>
      </c>
      <c r="U7">
        <v>1</v>
      </c>
      <c r="V7" t="s">
        <v>80</v>
      </c>
      <c r="W7" t="s">
        <v>82</v>
      </c>
      <c r="X7" t="s">
        <v>81</v>
      </c>
      <c r="Y7" t="s">
        <v>82</v>
      </c>
      <c r="Z7" t="s">
        <v>82</v>
      </c>
      <c r="AA7" t="s">
        <v>83</v>
      </c>
      <c r="AB7" t="s">
        <v>84</v>
      </c>
      <c r="AC7" t="s">
        <v>82</v>
      </c>
      <c r="AD7" t="s">
        <v>85</v>
      </c>
      <c r="AE7" t="s">
        <v>82</v>
      </c>
      <c r="AF7" t="s">
        <v>82</v>
      </c>
      <c r="AG7" t="s">
        <v>87</v>
      </c>
      <c r="AH7" t="s">
        <v>82</v>
      </c>
      <c r="AI7" t="s">
        <v>129</v>
      </c>
      <c r="AJ7" t="s">
        <v>82</v>
      </c>
      <c r="AK7" t="s">
        <v>82</v>
      </c>
      <c r="AL7" t="s">
        <v>82</v>
      </c>
      <c r="AM7" t="s">
        <v>82</v>
      </c>
      <c r="AN7" t="s">
        <v>82</v>
      </c>
      <c r="AO7" t="s">
        <v>82</v>
      </c>
      <c r="AP7" t="s">
        <v>82</v>
      </c>
      <c r="AQ7" t="s">
        <v>82</v>
      </c>
      <c r="AR7" t="s">
        <v>82</v>
      </c>
      <c r="AS7" t="s">
        <v>130</v>
      </c>
      <c r="AT7" t="s">
        <v>129</v>
      </c>
      <c r="AU7" t="s">
        <v>82</v>
      </c>
      <c r="AV7" t="s">
        <v>90</v>
      </c>
      <c r="AW7" t="s">
        <v>90</v>
      </c>
      <c r="AX7" t="s">
        <v>82</v>
      </c>
      <c r="AY7" t="s">
        <v>82</v>
      </c>
      <c r="AZ7" t="s">
        <v>90</v>
      </c>
      <c r="BA7" t="s">
        <v>90</v>
      </c>
      <c r="BB7" t="s">
        <v>90</v>
      </c>
      <c r="BC7" t="s">
        <v>90</v>
      </c>
      <c r="BD7" t="s">
        <v>82</v>
      </c>
      <c r="BE7" t="s">
        <v>90</v>
      </c>
      <c r="BF7" t="s">
        <v>82</v>
      </c>
      <c r="BG7" t="s">
        <v>82</v>
      </c>
      <c r="BH7" t="s">
        <v>82</v>
      </c>
      <c r="BI7" t="s">
        <v>82</v>
      </c>
      <c r="BJ7" t="s">
        <v>82</v>
      </c>
      <c r="BK7" t="s">
        <v>82</v>
      </c>
      <c r="BL7" t="s">
        <v>90</v>
      </c>
      <c r="BM7" t="s">
        <v>147</v>
      </c>
      <c r="BN7" t="s">
        <v>148</v>
      </c>
    </row>
    <row r="8" spans="1:66" x14ac:dyDescent="0.35">
      <c r="A8">
        <v>176365</v>
      </c>
      <c r="B8" t="s">
        <v>149</v>
      </c>
      <c r="C8" t="s">
        <v>65</v>
      </c>
      <c r="D8" t="s">
        <v>150</v>
      </c>
      <c r="E8" t="s">
        <v>67</v>
      </c>
      <c r="F8" t="s">
        <v>123</v>
      </c>
      <c r="G8" t="s">
        <v>69</v>
      </c>
      <c r="H8" t="s">
        <v>70</v>
      </c>
      <c r="I8" t="s">
        <v>151</v>
      </c>
      <c r="J8" t="s">
        <v>152</v>
      </c>
      <c r="K8" t="s">
        <v>153</v>
      </c>
      <c r="L8" t="s">
        <v>153</v>
      </c>
      <c r="M8" t="s">
        <v>154</v>
      </c>
      <c r="N8" t="s">
        <v>82</v>
      </c>
      <c r="O8" t="s">
        <v>77</v>
      </c>
      <c r="P8" s="2">
        <f t="shared" si="0"/>
        <v>0</v>
      </c>
      <c r="Q8" t="s">
        <v>78</v>
      </c>
      <c r="R8" s="2">
        <f t="shared" si="1"/>
        <v>3.2777777777777781E-2</v>
      </c>
      <c r="S8" t="s">
        <v>155</v>
      </c>
      <c r="T8">
        <v>0</v>
      </c>
      <c r="U8">
        <v>1</v>
      </c>
      <c r="V8" t="s">
        <v>80</v>
      </c>
      <c r="W8" t="s">
        <v>82</v>
      </c>
      <c r="X8" t="s">
        <v>156</v>
      </c>
      <c r="Y8" t="s">
        <v>82</v>
      </c>
      <c r="Z8" t="s">
        <v>82</v>
      </c>
      <c r="AA8" t="s">
        <v>83</v>
      </c>
      <c r="AB8" t="s">
        <v>84</v>
      </c>
      <c r="AC8" t="s">
        <v>82</v>
      </c>
      <c r="AD8" t="s">
        <v>85</v>
      </c>
      <c r="AE8" t="s">
        <v>82</v>
      </c>
      <c r="AF8" t="s">
        <v>82</v>
      </c>
      <c r="AG8" t="s">
        <v>87</v>
      </c>
      <c r="AH8" t="s">
        <v>82</v>
      </c>
      <c r="AI8" t="s">
        <v>129</v>
      </c>
      <c r="AJ8" t="s">
        <v>82</v>
      </c>
      <c r="AK8" t="s">
        <v>82</v>
      </c>
      <c r="AL8" t="s">
        <v>82</v>
      </c>
      <c r="AM8" t="s">
        <v>82</v>
      </c>
      <c r="AN8" t="s">
        <v>82</v>
      </c>
      <c r="AO8" t="s">
        <v>82</v>
      </c>
      <c r="AP8" t="s">
        <v>82</v>
      </c>
      <c r="AQ8" t="s">
        <v>82</v>
      </c>
      <c r="AR8" t="s">
        <v>82</v>
      </c>
      <c r="AS8" t="s">
        <v>130</v>
      </c>
      <c r="AT8" t="s">
        <v>129</v>
      </c>
      <c r="AU8" t="s">
        <v>82</v>
      </c>
      <c r="AV8" t="s">
        <v>90</v>
      </c>
      <c r="AW8" t="s">
        <v>90</v>
      </c>
      <c r="AX8" t="s">
        <v>82</v>
      </c>
      <c r="AY8" t="s">
        <v>82</v>
      </c>
      <c r="AZ8" t="s">
        <v>90</v>
      </c>
      <c r="BA8" t="s">
        <v>90</v>
      </c>
      <c r="BB8" t="s">
        <v>90</v>
      </c>
      <c r="BC8" t="s">
        <v>90</v>
      </c>
      <c r="BD8" t="s">
        <v>82</v>
      </c>
      <c r="BE8" t="s">
        <v>90</v>
      </c>
      <c r="BF8" t="s">
        <v>82</v>
      </c>
      <c r="BG8" t="s">
        <v>82</v>
      </c>
      <c r="BH8" t="s">
        <v>82</v>
      </c>
      <c r="BI8" t="s">
        <v>82</v>
      </c>
      <c r="BJ8" t="s">
        <v>82</v>
      </c>
      <c r="BK8" t="s">
        <v>82</v>
      </c>
      <c r="BL8" t="s">
        <v>90</v>
      </c>
      <c r="BM8" t="s">
        <v>131</v>
      </c>
      <c r="BN8" t="s">
        <v>132</v>
      </c>
    </row>
    <row r="9" spans="1:66" x14ac:dyDescent="0.35">
      <c r="A9">
        <v>176508</v>
      </c>
      <c r="B9" t="s">
        <v>157</v>
      </c>
      <c r="C9" t="s">
        <v>65</v>
      </c>
      <c r="D9" t="s">
        <v>66</v>
      </c>
      <c r="E9" t="s">
        <v>67</v>
      </c>
      <c r="F9" t="s">
        <v>158</v>
      </c>
      <c r="G9" t="s">
        <v>69</v>
      </c>
      <c r="H9" t="s">
        <v>70</v>
      </c>
      <c r="I9" t="s">
        <v>159</v>
      </c>
      <c r="J9" t="s">
        <v>160</v>
      </c>
      <c r="K9" t="s">
        <v>161</v>
      </c>
      <c r="L9" t="s">
        <v>162</v>
      </c>
      <c r="M9" t="s">
        <v>163</v>
      </c>
      <c r="N9" t="s">
        <v>164</v>
      </c>
      <c r="O9" t="s">
        <v>77</v>
      </c>
      <c r="P9" s="2">
        <f t="shared" si="0"/>
        <v>2.2666666666666666</v>
      </c>
      <c r="Q9" t="s">
        <v>165</v>
      </c>
      <c r="R9" s="2">
        <f t="shared" si="1"/>
        <v>0.30833333333333335</v>
      </c>
      <c r="S9" t="s">
        <v>166</v>
      </c>
      <c r="T9">
        <v>1</v>
      </c>
      <c r="U9">
        <v>1</v>
      </c>
      <c r="V9" t="s">
        <v>80</v>
      </c>
      <c r="W9" t="s">
        <v>80</v>
      </c>
      <c r="X9" t="s">
        <v>81</v>
      </c>
      <c r="Y9" t="s">
        <v>82</v>
      </c>
      <c r="Z9" t="s">
        <v>82</v>
      </c>
      <c r="AA9" t="s">
        <v>83</v>
      </c>
      <c r="AB9" t="s">
        <v>84</v>
      </c>
      <c r="AC9" t="s">
        <v>82</v>
      </c>
      <c r="AD9" t="s">
        <v>85</v>
      </c>
      <c r="AE9" t="s">
        <v>167</v>
      </c>
      <c r="AF9" t="s">
        <v>82</v>
      </c>
      <c r="AG9" t="s">
        <v>87</v>
      </c>
      <c r="AH9" t="s">
        <v>167</v>
      </c>
      <c r="AI9" t="s">
        <v>168</v>
      </c>
      <c r="AJ9" t="s">
        <v>82</v>
      </c>
      <c r="AK9" t="s">
        <v>82</v>
      </c>
      <c r="AL9" t="s">
        <v>82</v>
      </c>
      <c r="AM9" t="s">
        <v>82</v>
      </c>
      <c r="AN9" t="s">
        <v>169</v>
      </c>
      <c r="AO9" t="s">
        <v>82</v>
      </c>
      <c r="AP9" t="s">
        <v>82</v>
      </c>
      <c r="AQ9" t="s">
        <v>82</v>
      </c>
      <c r="AR9" t="s">
        <v>82</v>
      </c>
      <c r="AS9" t="s">
        <v>88</v>
      </c>
      <c r="AT9" t="s">
        <v>167</v>
      </c>
      <c r="AU9" t="s">
        <v>82</v>
      </c>
      <c r="AV9" t="s">
        <v>90</v>
      </c>
      <c r="AW9" t="s">
        <v>90</v>
      </c>
      <c r="AX9" t="s">
        <v>82</v>
      </c>
      <c r="AY9" t="s">
        <v>82</v>
      </c>
      <c r="AZ9" t="s">
        <v>90</v>
      </c>
      <c r="BA9" t="s">
        <v>90</v>
      </c>
      <c r="BB9" t="s">
        <v>90</v>
      </c>
      <c r="BC9" t="s">
        <v>90</v>
      </c>
      <c r="BD9" t="s">
        <v>82</v>
      </c>
      <c r="BE9" t="s">
        <v>90</v>
      </c>
      <c r="BF9" t="s">
        <v>82</v>
      </c>
      <c r="BG9" t="s">
        <v>82</v>
      </c>
      <c r="BH9" t="s">
        <v>82</v>
      </c>
      <c r="BI9" t="s">
        <v>82</v>
      </c>
      <c r="BJ9" t="s">
        <v>82</v>
      </c>
      <c r="BK9" t="s">
        <v>82</v>
      </c>
      <c r="BL9" t="s">
        <v>90</v>
      </c>
      <c r="BM9" t="s">
        <v>170</v>
      </c>
      <c r="BN9" t="s">
        <v>171</v>
      </c>
    </row>
    <row r="10" spans="1:66" x14ac:dyDescent="0.35">
      <c r="A10">
        <v>176798</v>
      </c>
      <c r="B10" t="s">
        <v>172</v>
      </c>
      <c r="C10" t="s">
        <v>65</v>
      </c>
      <c r="D10" t="s">
        <v>66</v>
      </c>
      <c r="E10" t="s">
        <v>67</v>
      </c>
      <c r="F10" t="s">
        <v>123</v>
      </c>
      <c r="G10" t="s">
        <v>69</v>
      </c>
      <c r="H10" t="s">
        <v>70</v>
      </c>
      <c r="I10" t="s">
        <v>173</v>
      </c>
      <c r="J10" t="s">
        <v>174</v>
      </c>
      <c r="K10" t="s">
        <v>175</v>
      </c>
      <c r="L10" t="s">
        <v>175</v>
      </c>
      <c r="M10" t="s">
        <v>176</v>
      </c>
      <c r="N10" t="s">
        <v>82</v>
      </c>
      <c r="O10" t="s">
        <v>77</v>
      </c>
      <c r="P10" s="2">
        <f t="shared" si="0"/>
        <v>0</v>
      </c>
      <c r="Q10" t="s">
        <v>78</v>
      </c>
      <c r="R10" s="2">
        <f t="shared" si="1"/>
        <v>0.10638888888888889</v>
      </c>
      <c r="S10" t="s">
        <v>177</v>
      </c>
      <c r="T10">
        <v>0</v>
      </c>
      <c r="U10">
        <v>1</v>
      </c>
      <c r="V10" t="s">
        <v>80</v>
      </c>
      <c r="W10" t="s">
        <v>82</v>
      </c>
      <c r="X10" t="s">
        <v>81</v>
      </c>
      <c r="Y10" t="s">
        <v>82</v>
      </c>
      <c r="Z10" t="s">
        <v>82</v>
      </c>
      <c r="AA10" t="s">
        <v>83</v>
      </c>
      <c r="AB10" t="s">
        <v>84</v>
      </c>
      <c r="AC10" t="s">
        <v>82</v>
      </c>
      <c r="AD10" t="s">
        <v>85</v>
      </c>
      <c r="AE10" t="s">
        <v>82</v>
      </c>
      <c r="AF10" t="s">
        <v>82</v>
      </c>
      <c r="AG10" t="s">
        <v>87</v>
      </c>
      <c r="AH10" t="s">
        <v>82</v>
      </c>
      <c r="AI10" t="s">
        <v>129</v>
      </c>
      <c r="AJ10" t="s">
        <v>82</v>
      </c>
      <c r="AK10" t="s">
        <v>82</v>
      </c>
      <c r="AL10" t="s">
        <v>82</v>
      </c>
      <c r="AM10" t="s">
        <v>82</v>
      </c>
      <c r="AN10" t="s">
        <v>82</v>
      </c>
      <c r="AO10" t="s">
        <v>82</v>
      </c>
      <c r="AP10" t="s">
        <v>82</v>
      </c>
      <c r="AQ10" t="s">
        <v>82</v>
      </c>
      <c r="AR10" t="s">
        <v>82</v>
      </c>
      <c r="AS10" t="s">
        <v>130</v>
      </c>
      <c r="AT10" t="s">
        <v>129</v>
      </c>
      <c r="AU10" t="s">
        <v>82</v>
      </c>
      <c r="AV10" t="s">
        <v>90</v>
      </c>
      <c r="AW10" t="s">
        <v>90</v>
      </c>
      <c r="AX10" t="s">
        <v>82</v>
      </c>
      <c r="AY10" t="s">
        <v>82</v>
      </c>
      <c r="AZ10" t="s">
        <v>90</v>
      </c>
      <c r="BA10" t="s">
        <v>90</v>
      </c>
      <c r="BB10" t="s">
        <v>90</v>
      </c>
      <c r="BC10" t="s">
        <v>90</v>
      </c>
      <c r="BD10" t="s">
        <v>82</v>
      </c>
      <c r="BE10" t="s">
        <v>90</v>
      </c>
      <c r="BF10" t="s">
        <v>82</v>
      </c>
      <c r="BG10" t="s">
        <v>82</v>
      </c>
      <c r="BH10" t="s">
        <v>82</v>
      </c>
      <c r="BI10" t="s">
        <v>82</v>
      </c>
      <c r="BJ10" t="s">
        <v>82</v>
      </c>
      <c r="BK10" t="s">
        <v>82</v>
      </c>
      <c r="BL10" t="s">
        <v>90</v>
      </c>
      <c r="BM10" t="s">
        <v>170</v>
      </c>
      <c r="BN10" t="s">
        <v>171</v>
      </c>
    </row>
    <row r="11" spans="1:66" x14ac:dyDescent="0.35">
      <c r="A11">
        <v>177135</v>
      </c>
      <c r="B11" t="s">
        <v>178</v>
      </c>
      <c r="C11" t="s">
        <v>65</v>
      </c>
      <c r="D11" t="s">
        <v>66</v>
      </c>
      <c r="E11" t="s">
        <v>67</v>
      </c>
      <c r="F11" t="s">
        <v>123</v>
      </c>
      <c r="G11" t="s">
        <v>69</v>
      </c>
      <c r="H11" t="s">
        <v>70</v>
      </c>
      <c r="I11" t="s">
        <v>179</v>
      </c>
      <c r="J11" t="s">
        <v>180</v>
      </c>
      <c r="K11" t="s">
        <v>181</v>
      </c>
      <c r="L11" t="s">
        <v>181</v>
      </c>
      <c r="M11" t="s">
        <v>182</v>
      </c>
      <c r="N11" t="s">
        <v>82</v>
      </c>
      <c r="O11" t="s">
        <v>77</v>
      </c>
      <c r="P11" s="2">
        <f t="shared" si="0"/>
        <v>0</v>
      </c>
      <c r="Q11" t="s">
        <v>78</v>
      </c>
      <c r="R11" s="2">
        <f t="shared" si="1"/>
        <v>8.0441666666666674</v>
      </c>
      <c r="S11" t="s">
        <v>183</v>
      </c>
      <c r="T11">
        <v>0</v>
      </c>
      <c r="U11">
        <v>3</v>
      </c>
      <c r="V11" t="s">
        <v>80</v>
      </c>
      <c r="W11" t="s">
        <v>82</v>
      </c>
      <c r="X11" t="s">
        <v>81</v>
      </c>
      <c r="Y11" t="s">
        <v>82</v>
      </c>
      <c r="Z11" t="s">
        <v>82</v>
      </c>
      <c r="AA11" t="s">
        <v>83</v>
      </c>
      <c r="AB11" t="s">
        <v>84</v>
      </c>
      <c r="AC11" t="s">
        <v>82</v>
      </c>
      <c r="AD11" t="s">
        <v>85</v>
      </c>
      <c r="AE11" t="s">
        <v>82</v>
      </c>
      <c r="AF11" t="s">
        <v>82</v>
      </c>
      <c r="AG11" t="s">
        <v>87</v>
      </c>
      <c r="AH11" t="s">
        <v>82</v>
      </c>
      <c r="AI11" t="s">
        <v>129</v>
      </c>
      <c r="AJ11" t="s">
        <v>82</v>
      </c>
      <c r="AK11" t="s">
        <v>82</v>
      </c>
      <c r="AL11" t="s">
        <v>82</v>
      </c>
      <c r="AM11" t="s">
        <v>82</v>
      </c>
      <c r="AN11" t="s">
        <v>82</v>
      </c>
      <c r="AO11" t="s">
        <v>82</v>
      </c>
      <c r="AP11" t="s">
        <v>82</v>
      </c>
      <c r="AQ11" t="s">
        <v>82</v>
      </c>
      <c r="AR11" t="s">
        <v>82</v>
      </c>
      <c r="AS11" t="s">
        <v>130</v>
      </c>
      <c r="AT11" t="s">
        <v>129</v>
      </c>
      <c r="AU11" t="s">
        <v>106</v>
      </c>
      <c r="AV11" t="s">
        <v>90</v>
      </c>
      <c r="AW11" t="s">
        <v>90</v>
      </c>
      <c r="AX11" t="s">
        <v>82</v>
      </c>
      <c r="AY11" t="s">
        <v>82</v>
      </c>
      <c r="AZ11" t="s">
        <v>90</v>
      </c>
      <c r="BA11" t="s">
        <v>90</v>
      </c>
      <c r="BB11" t="s">
        <v>90</v>
      </c>
      <c r="BC11" t="s">
        <v>90</v>
      </c>
      <c r="BD11" t="s">
        <v>82</v>
      </c>
      <c r="BE11" t="s">
        <v>90</v>
      </c>
      <c r="BF11" t="s">
        <v>82</v>
      </c>
      <c r="BG11" t="s">
        <v>82</v>
      </c>
      <c r="BH11" t="s">
        <v>82</v>
      </c>
      <c r="BI11" t="s">
        <v>82</v>
      </c>
      <c r="BJ11" t="s">
        <v>82</v>
      </c>
      <c r="BK11" t="s">
        <v>82</v>
      </c>
      <c r="BL11" t="s">
        <v>90</v>
      </c>
      <c r="BM11" t="s">
        <v>184</v>
      </c>
      <c r="BN11" t="s">
        <v>185</v>
      </c>
    </row>
    <row r="12" spans="1:66" x14ac:dyDescent="0.35">
      <c r="A12">
        <v>177149</v>
      </c>
      <c r="B12" t="s">
        <v>186</v>
      </c>
      <c r="C12" t="s">
        <v>65</v>
      </c>
      <c r="D12" t="s">
        <v>66</v>
      </c>
      <c r="E12" t="s">
        <v>67</v>
      </c>
      <c r="F12" t="s">
        <v>187</v>
      </c>
      <c r="G12" t="s">
        <v>69</v>
      </c>
      <c r="H12" t="s">
        <v>70</v>
      </c>
      <c r="I12" t="s">
        <v>188</v>
      </c>
      <c r="J12" t="s">
        <v>189</v>
      </c>
      <c r="K12" t="s">
        <v>190</v>
      </c>
      <c r="L12" t="s">
        <v>190</v>
      </c>
      <c r="M12" t="s">
        <v>191</v>
      </c>
      <c r="N12" t="s">
        <v>192</v>
      </c>
      <c r="O12" t="s">
        <v>77</v>
      </c>
      <c r="P12" s="2">
        <f t="shared" si="0"/>
        <v>37.383333333333333</v>
      </c>
      <c r="Q12" t="s">
        <v>193</v>
      </c>
      <c r="R12" s="2">
        <f t="shared" si="1"/>
        <v>5.3172222222222221</v>
      </c>
      <c r="S12" t="s">
        <v>194</v>
      </c>
      <c r="T12">
        <v>4</v>
      </c>
      <c r="U12">
        <v>9</v>
      </c>
      <c r="V12" t="s">
        <v>80</v>
      </c>
      <c r="W12" t="s">
        <v>80</v>
      </c>
      <c r="X12" t="s">
        <v>81</v>
      </c>
      <c r="Y12" t="s">
        <v>82</v>
      </c>
      <c r="Z12" t="s">
        <v>82</v>
      </c>
      <c r="AA12" t="s">
        <v>83</v>
      </c>
      <c r="AB12" t="s">
        <v>84</v>
      </c>
      <c r="AC12" t="s">
        <v>82</v>
      </c>
      <c r="AD12" t="s">
        <v>85</v>
      </c>
      <c r="AE12" t="s">
        <v>82</v>
      </c>
      <c r="AF12" t="s">
        <v>82</v>
      </c>
      <c r="AG12" t="s">
        <v>87</v>
      </c>
      <c r="AH12" t="s">
        <v>82</v>
      </c>
      <c r="AI12" t="s">
        <v>195</v>
      </c>
      <c r="AJ12" t="s">
        <v>82</v>
      </c>
      <c r="AK12" t="s">
        <v>82</v>
      </c>
      <c r="AL12" t="s">
        <v>82</v>
      </c>
      <c r="AM12" t="s">
        <v>82</v>
      </c>
      <c r="AN12" t="s">
        <v>82</v>
      </c>
      <c r="AO12" t="s">
        <v>82</v>
      </c>
      <c r="AP12" t="s">
        <v>82</v>
      </c>
      <c r="AQ12" t="s">
        <v>82</v>
      </c>
      <c r="AR12" t="s">
        <v>196</v>
      </c>
      <c r="AS12" t="s">
        <v>88</v>
      </c>
      <c r="AT12" t="s">
        <v>197</v>
      </c>
      <c r="AU12" t="s">
        <v>106</v>
      </c>
      <c r="AV12" t="s">
        <v>90</v>
      </c>
      <c r="AW12" t="s">
        <v>90</v>
      </c>
      <c r="AX12" t="s">
        <v>82</v>
      </c>
      <c r="AY12" t="s">
        <v>82</v>
      </c>
      <c r="AZ12" t="s">
        <v>90</v>
      </c>
      <c r="BA12" t="s">
        <v>90</v>
      </c>
      <c r="BB12" t="s">
        <v>90</v>
      </c>
      <c r="BC12" t="s">
        <v>90</v>
      </c>
      <c r="BD12" t="s">
        <v>82</v>
      </c>
      <c r="BE12" t="s">
        <v>91</v>
      </c>
      <c r="BF12" t="s">
        <v>82</v>
      </c>
      <c r="BG12" t="s">
        <v>82</v>
      </c>
      <c r="BH12" t="s">
        <v>82</v>
      </c>
      <c r="BI12" t="s">
        <v>82</v>
      </c>
      <c r="BJ12" t="s">
        <v>82</v>
      </c>
      <c r="BK12" t="s">
        <v>82</v>
      </c>
      <c r="BL12" t="s">
        <v>90</v>
      </c>
      <c r="BM12" t="s">
        <v>198</v>
      </c>
      <c r="BN12" t="s">
        <v>199</v>
      </c>
    </row>
    <row r="13" spans="1:66" x14ac:dyDescent="0.35">
      <c r="A13">
        <v>177220</v>
      </c>
      <c r="B13" t="s">
        <v>200</v>
      </c>
      <c r="C13" t="s">
        <v>65</v>
      </c>
      <c r="D13" t="s">
        <v>66</v>
      </c>
      <c r="E13" t="s">
        <v>67</v>
      </c>
      <c r="F13" t="s">
        <v>158</v>
      </c>
      <c r="G13" t="s">
        <v>69</v>
      </c>
      <c r="H13" t="s">
        <v>70</v>
      </c>
      <c r="I13" t="s">
        <v>201</v>
      </c>
      <c r="J13" t="s">
        <v>202</v>
      </c>
      <c r="K13" t="s">
        <v>203</v>
      </c>
      <c r="L13" t="s">
        <v>203</v>
      </c>
      <c r="M13" t="s">
        <v>204</v>
      </c>
      <c r="N13" t="s">
        <v>205</v>
      </c>
      <c r="O13" t="s">
        <v>77</v>
      </c>
      <c r="P13" s="2">
        <f t="shared" si="0"/>
        <v>24.499999999999996</v>
      </c>
      <c r="Q13" t="s">
        <v>206</v>
      </c>
      <c r="R13" s="2">
        <f t="shared" si="1"/>
        <v>3.8825000000000003</v>
      </c>
      <c r="S13" t="s">
        <v>207</v>
      </c>
      <c r="T13">
        <v>2</v>
      </c>
      <c r="U13">
        <v>1</v>
      </c>
      <c r="V13" t="s">
        <v>80</v>
      </c>
      <c r="W13" t="s">
        <v>80</v>
      </c>
      <c r="X13" t="s">
        <v>81</v>
      </c>
      <c r="Y13" t="s">
        <v>82</v>
      </c>
      <c r="Z13" t="s">
        <v>82</v>
      </c>
      <c r="AA13" t="s">
        <v>83</v>
      </c>
      <c r="AB13" t="s">
        <v>84</v>
      </c>
      <c r="AC13" t="s">
        <v>82</v>
      </c>
      <c r="AD13" t="s">
        <v>85</v>
      </c>
      <c r="AE13" t="s">
        <v>82</v>
      </c>
      <c r="AF13" t="s">
        <v>82</v>
      </c>
      <c r="AG13" t="s">
        <v>87</v>
      </c>
      <c r="AH13" t="s">
        <v>82</v>
      </c>
      <c r="AI13" t="s">
        <v>208</v>
      </c>
      <c r="AJ13" t="s">
        <v>82</v>
      </c>
      <c r="AK13" t="s">
        <v>82</v>
      </c>
      <c r="AL13" t="s">
        <v>82</v>
      </c>
      <c r="AM13" t="s">
        <v>82</v>
      </c>
      <c r="AN13" t="s">
        <v>169</v>
      </c>
      <c r="AO13" t="s">
        <v>82</v>
      </c>
      <c r="AP13" t="s">
        <v>82</v>
      </c>
      <c r="AQ13" t="s">
        <v>82</v>
      </c>
      <c r="AR13" t="s">
        <v>82</v>
      </c>
      <c r="AS13" t="s">
        <v>130</v>
      </c>
      <c r="AT13" t="s">
        <v>209</v>
      </c>
      <c r="AU13" t="s">
        <v>6</v>
      </c>
      <c r="AV13" t="s">
        <v>90</v>
      </c>
      <c r="AW13" t="s">
        <v>90</v>
      </c>
      <c r="AX13" t="s">
        <v>82</v>
      </c>
      <c r="AY13" t="s">
        <v>82</v>
      </c>
      <c r="AZ13" t="s">
        <v>90</v>
      </c>
      <c r="BA13" t="s">
        <v>90</v>
      </c>
      <c r="BB13" t="s">
        <v>90</v>
      </c>
      <c r="BC13" t="s">
        <v>90</v>
      </c>
      <c r="BD13" t="s">
        <v>82</v>
      </c>
      <c r="BE13" t="s">
        <v>90</v>
      </c>
      <c r="BF13" t="s">
        <v>82</v>
      </c>
      <c r="BG13" t="s">
        <v>82</v>
      </c>
      <c r="BH13" t="s">
        <v>82</v>
      </c>
      <c r="BI13" t="s">
        <v>82</v>
      </c>
      <c r="BJ13" t="s">
        <v>82</v>
      </c>
      <c r="BK13" t="s">
        <v>82</v>
      </c>
      <c r="BL13" t="s">
        <v>90</v>
      </c>
      <c r="BM13" t="s">
        <v>210</v>
      </c>
      <c r="BN13" t="s">
        <v>211</v>
      </c>
    </row>
    <row r="14" spans="1:66" x14ac:dyDescent="0.35">
      <c r="A14">
        <v>177624</v>
      </c>
      <c r="B14" t="s">
        <v>212</v>
      </c>
      <c r="C14" t="s">
        <v>65</v>
      </c>
      <c r="D14" t="s">
        <v>66</v>
      </c>
      <c r="E14" t="s">
        <v>95</v>
      </c>
      <c r="F14" t="s">
        <v>109</v>
      </c>
      <c r="G14" t="s">
        <v>69</v>
      </c>
      <c r="H14" t="s">
        <v>70</v>
      </c>
      <c r="I14" t="s">
        <v>213</v>
      </c>
      <c r="J14" t="s">
        <v>214</v>
      </c>
      <c r="K14" t="s">
        <v>215</v>
      </c>
      <c r="L14" t="s">
        <v>216</v>
      </c>
      <c r="M14" t="s">
        <v>216</v>
      </c>
      <c r="N14" t="s">
        <v>217</v>
      </c>
      <c r="O14" t="s">
        <v>77</v>
      </c>
      <c r="P14" s="2">
        <f t="shared" si="0"/>
        <v>16.966666666666665</v>
      </c>
      <c r="Q14" t="s">
        <v>218</v>
      </c>
      <c r="R14" s="2">
        <f t="shared" si="1"/>
        <v>23.323611111111113</v>
      </c>
      <c r="S14" t="s">
        <v>219</v>
      </c>
      <c r="T14">
        <v>4</v>
      </c>
      <c r="U14">
        <v>1</v>
      </c>
      <c r="V14" t="s">
        <v>80</v>
      </c>
      <c r="W14" t="s">
        <v>80</v>
      </c>
      <c r="X14" t="s">
        <v>82</v>
      </c>
      <c r="Y14" t="s">
        <v>82</v>
      </c>
      <c r="Z14" t="s">
        <v>82</v>
      </c>
      <c r="AA14" t="s">
        <v>83</v>
      </c>
      <c r="AB14" t="s">
        <v>84</v>
      </c>
      <c r="AC14" t="s">
        <v>82</v>
      </c>
      <c r="AD14" t="s">
        <v>220</v>
      </c>
      <c r="AE14" t="s">
        <v>221</v>
      </c>
      <c r="AF14" t="s">
        <v>82</v>
      </c>
      <c r="AG14" t="s">
        <v>87</v>
      </c>
      <c r="AH14" t="s">
        <v>222</v>
      </c>
      <c r="AI14" t="s">
        <v>82</v>
      </c>
      <c r="AJ14" t="s">
        <v>82</v>
      </c>
      <c r="AK14" t="s">
        <v>82</v>
      </c>
      <c r="AL14" t="s">
        <v>82</v>
      </c>
      <c r="AM14" t="s">
        <v>82</v>
      </c>
      <c r="AN14" t="s">
        <v>82</v>
      </c>
      <c r="AO14" t="s">
        <v>82</v>
      </c>
      <c r="AP14" t="s">
        <v>82</v>
      </c>
      <c r="AQ14" t="s">
        <v>82</v>
      </c>
      <c r="AR14" t="s">
        <v>82</v>
      </c>
      <c r="AS14" t="s">
        <v>88</v>
      </c>
      <c r="AT14" t="s">
        <v>222</v>
      </c>
      <c r="AU14" t="s">
        <v>6</v>
      </c>
      <c r="AV14" t="s">
        <v>90</v>
      </c>
      <c r="AW14" t="s">
        <v>91</v>
      </c>
      <c r="AX14" t="s">
        <v>82</v>
      </c>
      <c r="AY14" t="s">
        <v>82</v>
      </c>
      <c r="AZ14" t="s">
        <v>90</v>
      </c>
      <c r="BA14" t="s">
        <v>90</v>
      </c>
      <c r="BB14" t="s">
        <v>91</v>
      </c>
      <c r="BC14" t="s">
        <v>91</v>
      </c>
      <c r="BD14" t="s">
        <v>82</v>
      </c>
      <c r="BE14" t="s">
        <v>90</v>
      </c>
      <c r="BF14" t="s">
        <v>82</v>
      </c>
      <c r="BG14" t="s">
        <v>82</v>
      </c>
      <c r="BH14" t="s">
        <v>82</v>
      </c>
      <c r="BI14" t="s">
        <v>82</v>
      </c>
      <c r="BJ14" t="s">
        <v>82</v>
      </c>
      <c r="BK14" t="s">
        <v>82</v>
      </c>
      <c r="BL14" t="s">
        <v>90</v>
      </c>
      <c r="BM14" t="s">
        <v>223</v>
      </c>
      <c r="BN14" t="s">
        <v>224</v>
      </c>
    </row>
    <row r="15" spans="1:66" x14ac:dyDescent="0.35">
      <c r="A15">
        <v>177697</v>
      </c>
      <c r="B15" t="s">
        <v>225</v>
      </c>
      <c r="C15" t="s">
        <v>65</v>
      </c>
      <c r="D15" t="s">
        <v>66</v>
      </c>
      <c r="E15" t="s">
        <v>67</v>
      </c>
      <c r="F15" t="s">
        <v>123</v>
      </c>
      <c r="G15" t="s">
        <v>69</v>
      </c>
      <c r="H15" t="s">
        <v>70</v>
      </c>
      <c r="I15" t="s">
        <v>226</v>
      </c>
      <c r="J15" t="s">
        <v>227</v>
      </c>
      <c r="K15" t="s">
        <v>228</v>
      </c>
      <c r="L15" t="s">
        <v>228</v>
      </c>
      <c r="M15" t="s">
        <v>229</v>
      </c>
      <c r="N15" t="s">
        <v>82</v>
      </c>
      <c r="O15" t="s">
        <v>77</v>
      </c>
      <c r="P15" s="2">
        <f t="shared" si="0"/>
        <v>0</v>
      </c>
      <c r="Q15" t="s">
        <v>78</v>
      </c>
      <c r="R15" s="2">
        <f t="shared" si="1"/>
        <v>1.2500000000000001E-2</v>
      </c>
      <c r="S15" t="s">
        <v>230</v>
      </c>
      <c r="T15">
        <v>0</v>
      </c>
      <c r="U15">
        <v>1</v>
      </c>
      <c r="V15" t="s">
        <v>80</v>
      </c>
      <c r="W15" t="s">
        <v>82</v>
      </c>
      <c r="X15" t="s">
        <v>81</v>
      </c>
      <c r="Y15" t="s">
        <v>82</v>
      </c>
      <c r="Z15" t="s">
        <v>82</v>
      </c>
      <c r="AA15" t="s">
        <v>83</v>
      </c>
      <c r="AB15" t="s">
        <v>84</v>
      </c>
      <c r="AC15" t="s">
        <v>82</v>
      </c>
      <c r="AD15" t="s">
        <v>85</v>
      </c>
      <c r="AE15" t="s">
        <v>82</v>
      </c>
      <c r="AF15" t="s">
        <v>82</v>
      </c>
      <c r="AG15" t="s">
        <v>87</v>
      </c>
      <c r="AH15" t="s">
        <v>82</v>
      </c>
      <c r="AI15" t="s">
        <v>129</v>
      </c>
      <c r="AJ15" t="s">
        <v>82</v>
      </c>
      <c r="AK15" t="s">
        <v>82</v>
      </c>
      <c r="AL15" t="s">
        <v>82</v>
      </c>
      <c r="AM15" t="s">
        <v>82</v>
      </c>
      <c r="AN15" t="s">
        <v>82</v>
      </c>
      <c r="AO15" t="s">
        <v>82</v>
      </c>
      <c r="AP15" t="s">
        <v>82</v>
      </c>
      <c r="AQ15" t="s">
        <v>82</v>
      </c>
      <c r="AR15" t="s">
        <v>82</v>
      </c>
      <c r="AS15" t="s">
        <v>130</v>
      </c>
      <c r="AT15" t="s">
        <v>129</v>
      </c>
      <c r="AU15" t="s">
        <v>82</v>
      </c>
      <c r="AV15" t="s">
        <v>90</v>
      </c>
      <c r="AW15" t="s">
        <v>90</v>
      </c>
      <c r="AX15" t="s">
        <v>82</v>
      </c>
      <c r="AY15" t="s">
        <v>82</v>
      </c>
      <c r="AZ15" t="s">
        <v>90</v>
      </c>
      <c r="BA15" t="s">
        <v>90</v>
      </c>
      <c r="BB15" t="s">
        <v>90</v>
      </c>
      <c r="BC15" t="s">
        <v>90</v>
      </c>
      <c r="BD15" t="s">
        <v>82</v>
      </c>
      <c r="BE15" t="s">
        <v>90</v>
      </c>
      <c r="BF15" t="s">
        <v>82</v>
      </c>
      <c r="BG15" t="s">
        <v>82</v>
      </c>
      <c r="BH15" t="s">
        <v>82</v>
      </c>
      <c r="BI15" t="s">
        <v>82</v>
      </c>
      <c r="BJ15" t="s">
        <v>82</v>
      </c>
      <c r="BK15" t="s">
        <v>82</v>
      </c>
      <c r="BL15" t="s">
        <v>90</v>
      </c>
      <c r="BM15" t="s">
        <v>147</v>
      </c>
      <c r="BN15" t="s">
        <v>148</v>
      </c>
    </row>
    <row r="16" spans="1:66" x14ac:dyDescent="0.35">
      <c r="A16">
        <v>177885</v>
      </c>
      <c r="B16" t="s">
        <v>231</v>
      </c>
      <c r="C16" t="s">
        <v>65</v>
      </c>
      <c r="D16" t="s">
        <v>150</v>
      </c>
      <c r="E16" t="s">
        <v>67</v>
      </c>
      <c r="F16" t="s">
        <v>158</v>
      </c>
      <c r="G16" t="s">
        <v>69</v>
      </c>
      <c r="H16" t="s">
        <v>70</v>
      </c>
      <c r="I16" t="s">
        <v>232</v>
      </c>
      <c r="J16" t="s">
        <v>233</v>
      </c>
      <c r="K16" t="s">
        <v>234</v>
      </c>
      <c r="L16" t="s">
        <v>235</v>
      </c>
      <c r="M16" t="s">
        <v>236</v>
      </c>
      <c r="N16" t="s">
        <v>237</v>
      </c>
      <c r="O16" t="s">
        <v>77</v>
      </c>
      <c r="P16" s="2">
        <f t="shared" si="0"/>
        <v>44.95000000000001</v>
      </c>
      <c r="Q16" t="s">
        <v>238</v>
      </c>
      <c r="R16" s="2">
        <f t="shared" si="1"/>
        <v>0.75527777777777794</v>
      </c>
      <c r="S16" t="s">
        <v>239</v>
      </c>
      <c r="T16">
        <v>1</v>
      </c>
      <c r="U16">
        <v>1</v>
      </c>
      <c r="V16" t="s">
        <v>240</v>
      </c>
      <c r="W16" t="s">
        <v>240</v>
      </c>
      <c r="X16" t="s">
        <v>241</v>
      </c>
      <c r="Y16" t="s">
        <v>82</v>
      </c>
      <c r="Z16" t="s">
        <v>82</v>
      </c>
      <c r="AA16" t="s">
        <v>83</v>
      </c>
      <c r="AB16" t="s">
        <v>84</v>
      </c>
      <c r="AC16" t="s">
        <v>82</v>
      </c>
      <c r="AD16" t="s">
        <v>85</v>
      </c>
      <c r="AE16" t="s">
        <v>82</v>
      </c>
      <c r="AF16" t="s">
        <v>82</v>
      </c>
      <c r="AG16" t="s">
        <v>87</v>
      </c>
      <c r="AH16" t="s">
        <v>242</v>
      </c>
      <c r="AI16" t="s">
        <v>243</v>
      </c>
      <c r="AJ16" t="s">
        <v>82</v>
      </c>
      <c r="AK16" t="s">
        <v>82</v>
      </c>
      <c r="AL16" t="s">
        <v>82</v>
      </c>
      <c r="AM16" t="s">
        <v>82</v>
      </c>
      <c r="AN16" t="s">
        <v>169</v>
      </c>
      <c r="AO16" t="s">
        <v>82</v>
      </c>
      <c r="AP16" t="s">
        <v>82</v>
      </c>
      <c r="AQ16" t="s">
        <v>82</v>
      </c>
      <c r="AR16" t="s">
        <v>82</v>
      </c>
      <c r="AS16" t="s">
        <v>88</v>
      </c>
      <c r="AT16" t="s">
        <v>242</v>
      </c>
      <c r="AU16" t="s">
        <v>6</v>
      </c>
      <c r="AV16" t="s">
        <v>90</v>
      </c>
      <c r="AW16" t="s">
        <v>90</v>
      </c>
      <c r="AX16" t="s">
        <v>82</v>
      </c>
      <c r="AY16" t="s">
        <v>82</v>
      </c>
      <c r="AZ16" t="s">
        <v>90</v>
      </c>
      <c r="BA16" t="s">
        <v>90</v>
      </c>
      <c r="BB16" t="s">
        <v>90</v>
      </c>
      <c r="BC16" t="s">
        <v>90</v>
      </c>
      <c r="BD16" t="s">
        <v>82</v>
      </c>
      <c r="BE16" t="s">
        <v>90</v>
      </c>
      <c r="BF16" t="s">
        <v>82</v>
      </c>
      <c r="BG16" t="s">
        <v>82</v>
      </c>
      <c r="BH16" t="s">
        <v>82</v>
      </c>
      <c r="BI16" t="s">
        <v>82</v>
      </c>
      <c r="BJ16" t="s">
        <v>82</v>
      </c>
      <c r="BK16" t="s">
        <v>82</v>
      </c>
      <c r="BL16" t="s">
        <v>90</v>
      </c>
      <c r="BM16" t="s">
        <v>244</v>
      </c>
      <c r="BN16" t="s">
        <v>245</v>
      </c>
    </row>
    <row r="17" spans="1:66" x14ac:dyDescent="0.35">
      <c r="A17">
        <v>178204</v>
      </c>
      <c r="B17" t="s">
        <v>246</v>
      </c>
      <c r="C17" t="s">
        <v>65</v>
      </c>
      <c r="D17" t="s">
        <v>66</v>
      </c>
      <c r="E17" t="s">
        <v>67</v>
      </c>
      <c r="F17" t="s">
        <v>68</v>
      </c>
      <c r="G17" t="s">
        <v>69</v>
      </c>
      <c r="H17" t="s">
        <v>70</v>
      </c>
      <c r="I17" t="s">
        <v>247</v>
      </c>
      <c r="J17" t="s">
        <v>248</v>
      </c>
      <c r="K17" t="s">
        <v>249</v>
      </c>
      <c r="L17" t="s">
        <v>249</v>
      </c>
      <c r="M17" t="s">
        <v>250</v>
      </c>
      <c r="N17" t="s">
        <v>251</v>
      </c>
      <c r="O17" t="s">
        <v>77</v>
      </c>
      <c r="P17" s="2">
        <f t="shared" si="0"/>
        <v>33.333333333333336</v>
      </c>
      <c r="Q17" t="s">
        <v>252</v>
      </c>
      <c r="R17" s="2">
        <f t="shared" si="1"/>
        <v>43.185000000000002</v>
      </c>
      <c r="S17" t="s">
        <v>253</v>
      </c>
      <c r="T17">
        <v>2</v>
      </c>
      <c r="U17">
        <v>1</v>
      </c>
      <c r="V17" t="s">
        <v>80</v>
      </c>
      <c r="W17" t="s">
        <v>80</v>
      </c>
      <c r="X17" t="s">
        <v>81</v>
      </c>
      <c r="Y17" t="s">
        <v>82</v>
      </c>
      <c r="Z17" t="s">
        <v>82</v>
      </c>
      <c r="AA17" t="s">
        <v>83</v>
      </c>
      <c r="AB17" t="s">
        <v>84</v>
      </c>
      <c r="AC17" t="s">
        <v>82</v>
      </c>
      <c r="AD17" t="s">
        <v>85</v>
      </c>
      <c r="AE17" t="s">
        <v>254</v>
      </c>
      <c r="AF17" t="s">
        <v>82</v>
      </c>
      <c r="AG17" t="s">
        <v>87</v>
      </c>
      <c r="AH17" t="s">
        <v>255</v>
      </c>
      <c r="AI17" t="s">
        <v>256</v>
      </c>
      <c r="AJ17" t="s">
        <v>82</v>
      </c>
      <c r="AK17" t="s">
        <v>82</v>
      </c>
      <c r="AL17" t="s">
        <v>82</v>
      </c>
      <c r="AM17" t="s">
        <v>82</v>
      </c>
      <c r="AN17" t="s">
        <v>82</v>
      </c>
      <c r="AO17" t="s">
        <v>82</v>
      </c>
      <c r="AP17" t="s">
        <v>82</v>
      </c>
      <c r="AQ17" t="s">
        <v>82</v>
      </c>
      <c r="AR17" t="s">
        <v>82</v>
      </c>
      <c r="AS17" t="s">
        <v>88</v>
      </c>
      <c r="AT17" t="s">
        <v>257</v>
      </c>
      <c r="AU17" t="s">
        <v>6</v>
      </c>
      <c r="AV17" t="s">
        <v>90</v>
      </c>
      <c r="AW17" t="s">
        <v>90</v>
      </c>
      <c r="AX17" t="s">
        <v>82</v>
      </c>
      <c r="AY17" t="s">
        <v>82</v>
      </c>
      <c r="AZ17" t="s">
        <v>90</v>
      </c>
      <c r="BA17" t="s">
        <v>90</v>
      </c>
      <c r="BB17" t="s">
        <v>90</v>
      </c>
      <c r="BC17" t="s">
        <v>90</v>
      </c>
      <c r="BD17" t="s">
        <v>82</v>
      </c>
      <c r="BE17" t="s">
        <v>90</v>
      </c>
      <c r="BF17" t="s">
        <v>82</v>
      </c>
      <c r="BG17" t="s">
        <v>82</v>
      </c>
      <c r="BH17" t="s">
        <v>82</v>
      </c>
      <c r="BI17" t="s">
        <v>82</v>
      </c>
      <c r="BJ17" t="s">
        <v>82</v>
      </c>
      <c r="BK17" t="s">
        <v>82</v>
      </c>
      <c r="BL17" t="s">
        <v>90</v>
      </c>
      <c r="BM17" t="s">
        <v>258</v>
      </c>
      <c r="BN17" t="s">
        <v>259</v>
      </c>
    </row>
    <row r="18" spans="1:66" x14ac:dyDescent="0.35">
      <c r="A18">
        <v>178425</v>
      </c>
      <c r="B18" t="s">
        <v>260</v>
      </c>
      <c r="C18" t="s">
        <v>65</v>
      </c>
      <c r="D18" t="s">
        <v>150</v>
      </c>
      <c r="E18" t="s">
        <v>67</v>
      </c>
      <c r="F18" t="s">
        <v>68</v>
      </c>
      <c r="G18" t="s">
        <v>69</v>
      </c>
      <c r="H18" t="s">
        <v>70</v>
      </c>
      <c r="I18" t="s">
        <v>261</v>
      </c>
      <c r="J18" t="s">
        <v>262</v>
      </c>
      <c r="K18" t="s">
        <v>263</v>
      </c>
      <c r="L18" t="s">
        <v>264</v>
      </c>
      <c r="M18" t="s">
        <v>265</v>
      </c>
      <c r="N18" t="s">
        <v>266</v>
      </c>
      <c r="O18" t="s">
        <v>77</v>
      </c>
      <c r="P18" s="2">
        <f t="shared" si="0"/>
        <v>14.466666666666667</v>
      </c>
      <c r="Q18" t="s">
        <v>267</v>
      </c>
      <c r="R18" s="2">
        <f t="shared" si="1"/>
        <v>22.887499999999999</v>
      </c>
      <c r="S18" t="s">
        <v>268</v>
      </c>
      <c r="T18">
        <v>1</v>
      </c>
      <c r="U18">
        <v>1</v>
      </c>
      <c r="V18" t="s">
        <v>80</v>
      </c>
      <c r="W18" t="s">
        <v>80</v>
      </c>
      <c r="X18" t="s">
        <v>81</v>
      </c>
      <c r="Y18" t="s">
        <v>82</v>
      </c>
      <c r="Z18" t="s">
        <v>82</v>
      </c>
      <c r="AA18" t="s">
        <v>83</v>
      </c>
      <c r="AB18" t="s">
        <v>84</v>
      </c>
      <c r="AC18" t="s">
        <v>82</v>
      </c>
      <c r="AD18" t="s">
        <v>85</v>
      </c>
      <c r="AE18" t="s">
        <v>82</v>
      </c>
      <c r="AF18" t="s">
        <v>82</v>
      </c>
      <c r="AG18" t="s">
        <v>87</v>
      </c>
      <c r="AH18" t="s">
        <v>242</v>
      </c>
      <c r="AI18" t="s">
        <v>243</v>
      </c>
      <c r="AJ18" t="s">
        <v>82</v>
      </c>
      <c r="AK18" t="s">
        <v>82</v>
      </c>
      <c r="AL18" t="s">
        <v>82</v>
      </c>
      <c r="AM18" t="s">
        <v>82</v>
      </c>
      <c r="AN18" t="s">
        <v>82</v>
      </c>
      <c r="AO18" t="s">
        <v>82</v>
      </c>
      <c r="AP18" t="s">
        <v>82</v>
      </c>
      <c r="AQ18" t="s">
        <v>82</v>
      </c>
      <c r="AR18" t="s">
        <v>82</v>
      </c>
      <c r="AS18" t="s">
        <v>88</v>
      </c>
      <c r="AT18" t="s">
        <v>242</v>
      </c>
      <c r="AU18" t="s">
        <v>6</v>
      </c>
      <c r="AV18" t="s">
        <v>90</v>
      </c>
      <c r="AW18" t="s">
        <v>91</v>
      </c>
      <c r="AX18" t="s">
        <v>82</v>
      </c>
      <c r="AY18" t="s">
        <v>82</v>
      </c>
      <c r="AZ18" t="s">
        <v>90</v>
      </c>
      <c r="BA18" t="s">
        <v>90</v>
      </c>
      <c r="BB18" t="s">
        <v>91</v>
      </c>
      <c r="BC18" t="s">
        <v>91</v>
      </c>
      <c r="BD18" t="s">
        <v>82</v>
      </c>
      <c r="BE18" t="s">
        <v>90</v>
      </c>
      <c r="BF18" t="s">
        <v>82</v>
      </c>
      <c r="BG18" t="s">
        <v>82</v>
      </c>
      <c r="BH18" t="s">
        <v>82</v>
      </c>
      <c r="BI18" t="s">
        <v>82</v>
      </c>
      <c r="BJ18" t="s">
        <v>82</v>
      </c>
      <c r="BK18" t="s">
        <v>82</v>
      </c>
      <c r="BL18" t="s">
        <v>90</v>
      </c>
      <c r="BM18" t="s">
        <v>170</v>
      </c>
      <c r="BN18" t="s">
        <v>171</v>
      </c>
    </row>
    <row r="19" spans="1:66" x14ac:dyDescent="0.35">
      <c r="A19">
        <v>178519</v>
      </c>
      <c r="B19" t="s">
        <v>269</v>
      </c>
      <c r="C19" t="s">
        <v>65</v>
      </c>
      <c r="D19" t="s">
        <v>66</v>
      </c>
      <c r="E19" t="s">
        <v>67</v>
      </c>
      <c r="F19" t="s">
        <v>68</v>
      </c>
      <c r="G19" t="s">
        <v>69</v>
      </c>
      <c r="H19" t="s">
        <v>70</v>
      </c>
      <c r="I19" t="s">
        <v>270</v>
      </c>
      <c r="J19" t="s">
        <v>271</v>
      </c>
      <c r="K19" t="s">
        <v>272</v>
      </c>
      <c r="L19" t="s">
        <v>272</v>
      </c>
      <c r="M19" t="s">
        <v>273</v>
      </c>
      <c r="N19" t="s">
        <v>274</v>
      </c>
      <c r="O19" t="s">
        <v>77</v>
      </c>
      <c r="P19" s="2">
        <f t="shared" si="0"/>
        <v>65.25</v>
      </c>
      <c r="Q19" t="s">
        <v>275</v>
      </c>
      <c r="R19" s="2">
        <f t="shared" si="1"/>
        <v>25.582222222222221</v>
      </c>
      <c r="S19" t="s">
        <v>276</v>
      </c>
      <c r="T19">
        <v>4</v>
      </c>
      <c r="U19">
        <v>3</v>
      </c>
      <c r="V19" t="s">
        <v>80</v>
      </c>
      <c r="W19" t="s">
        <v>80</v>
      </c>
      <c r="X19" t="s">
        <v>81</v>
      </c>
      <c r="Y19" t="s">
        <v>82</v>
      </c>
      <c r="Z19" t="s">
        <v>82</v>
      </c>
      <c r="AA19" t="s">
        <v>83</v>
      </c>
      <c r="AB19" t="s">
        <v>84</v>
      </c>
      <c r="AC19" t="s">
        <v>82</v>
      </c>
      <c r="AD19" t="s">
        <v>85</v>
      </c>
      <c r="AE19" t="s">
        <v>277</v>
      </c>
      <c r="AF19" t="s">
        <v>82</v>
      </c>
      <c r="AG19" t="s">
        <v>87</v>
      </c>
      <c r="AH19" t="s">
        <v>277</v>
      </c>
      <c r="AI19" t="s">
        <v>278</v>
      </c>
      <c r="AJ19" t="s">
        <v>82</v>
      </c>
      <c r="AK19" t="s">
        <v>82</v>
      </c>
      <c r="AL19" t="s">
        <v>82</v>
      </c>
      <c r="AM19" t="s">
        <v>82</v>
      </c>
      <c r="AN19" t="s">
        <v>82</v>
      </c>
      <c r="AO19" t="s">
        <v>82</v>
      </c>
      <c r="AP19" t="s">
        <v>82</v>
      </c>
      <c r="AQ19" t="s">
        <v>82</v>
      </c>
      <c r="AR19" t="s">
        <v>82</v>
      </c>
      <c r="AS19" t="s">
        <v>88</v>
      </c>
      <c r="AT19" t="s">
        <v>277</v>
      </c>
      <c r="AU19" t="s">
        <v>6</v>
      </c>
      <c r="AV19" t="s">
        <v>90</v>
      </c>
      <c r="AW19" t="s">
        <v>90</v>
      </c>
      <c r="AX19" t="s">
        <v>82</v>
      </c>
      <c r="AY19" t="s">
        <v>82</v>
      </c>
      <c r="AZ19" t="s">
        <v>90</v>
      </c>
      <c r="BA19" t="s">
        <v>90</v>
      </c>
      <c r="BB19" t="s">
        <v>90</v>
      </c>
      <c r="BC19" t="s">
        <v>90</v>
      </c>
      <c r="BD19" t="s">
        <v>82</v>
      </c>
      <c r="BE19" t="s">
        <v>90</v>
      </c>
      <c r="BF19" t="s">
        <v>82</v>
      </c>
      <c r="BG19" t="s">
        <v>82</v>
      </c>
      <c r="BH19" t="s">
        <v>82</v>
      </c>
      <c r="BI19" t="s">
        <v>82</v>
      </c>
      <c r="BJ19" t="s">
        <v>82</v>
      </c>
      <c r="BK19" t="s">
        <v>82</v>
      </c>
      <c r="BL19" t="s">
        <v>90</v>
      </c>
      <c r="BM19" t="s">
        <v>279</v>
      </c>
      <c r="BN19" t="s">
        <v>280</v>
      </c>
    </row>
    <row r="20" spans="1:66" x14ac:dyDescent="0.35">
      <c r="A20">
        <v>178686</v>
      </c>
      <c r="B20" t="s">
        <v>281</v>
      </c>
      <c r="C20" t="s">
        <v>65</v>
      </c>
      <c r="D20" t="s">
        <v>66</v>
      </c>
      <c r="E20" t="s">
        <v>95</v>
      </c>
      <c r="F20" t="s">
        <v>158</v>
      </c>
      <c r="G20" t="s">
        <v>69</v>
      </c>
      <c r="H20" t="s">
        <v>70</v>
      </c>
      <c r="I20" t="s">
        <v>282</v>
      </c>
      <c r="J20" t="s">
        <v>283</v>
      </c>
      <c r="K20" t="s">
        <v>284</v>
      </c>
      <c r="L20" t="s">
        <v>284</v>
      </c>
      <c r="M20" t="s">
        <v>285</v>
      </c>
      <c r="N20" t="s">
        <v>286</v>
      </c>
      <c r="O20" t="s">
        <v>77</v>
      </c>
      <c r="P20" s="2">
        <f t="shared" si="0"/>
        <v>9.35</v>
      </c>
      <c r="Q20" t="s">
        <v>287</v>
      </c>
      <c r="R20" s="2">
        <f t="shared" si="1"/>
        <v>21.06</v>
      </c>
      <c r="S20" t="s">
        <v>288</v>
      </c>
      <c r="T20">
        <v>4</v>
      </c>
      <c r="U20">
        <v>3</v>
      </c>
      <c r="V20" t="s">
        <v>80</v>
      </c>
      <c r="W20" t="s">
        <v>80</v>
      </c>
      <c r="X20" t="s">
        <v>81</v>
      </c>
      <c r="Y20" t="s">
        <v>82</v>
      </c>
      <c r="Z20" t="s">
        <v>82</v>
      </c>
      <c r="AA20" t="s">
        <v>83</v>
      </c>
      <c r="AB20" t="s">
        <v>84</v>
      </c>
      <c r="AC20" t="s">
        <v>82</v>
      </c>
      <c r="AD20" t="s">
        <v>85</v>
      </c>
      <c r="AE20" t="s">
        <v>289</v>
      </c>
      <c r="AF20" t="s">
        <v>82</v>
      </c>
      <c r="AG20" t="s">
        <v>87</v>
      </c>
      <c r="AH20" t="s">
        <v>82</v>
      </c>
      <c r="AI20" t="s">
        <v>290</v>
      </c>
      <c r="AJ20" t="s">
        <v>82</v>
      </c>
      <c r="AK20" t="s">
        <v>82</v>
      </c>
      <c r="AL20" t="s">
        <v>82</v>
      </c>
      <c r="AM20" t="s">
        <v>82</v>
      </c>
      <c r="AN20" t="s">
        <v>291</v>
      </c>
      <c r="AO20" t="s">
        <v>82</v>
      </c>
      <c r="AP20" t="s">
        <v>82</v>
      </c>
      <c r="AQ20" t="s">
        <v>82</v>
      </c>
      <c r="AR20" t="s">
        <v>82</v>
      </c>
      <c r="AS20" t="s">
        <v>292</v>
      </c>
      <c r="AT20" t="s">
        <v>293</v>
      </c>
      <c r="AU20" t="s">
        <v>106</v>
      </c>
      <c r="AV20" t="s">
        <v>90</v>
      </c>
      <c r="AW20" t="s">
        <v>90</v>
      </c>
      <c r="AX20" t="s">
        <v>82</v>
      </c>
      <c r="AY20" t="s">
        <v>82</v>
      </c>
      <c r="AZ20" t="s">
        <v>90</v>
      </c>
      <c r="BA20" t="s">
        <v>90</v>
      </c>
      <c r="BB20" t="s">
        <v>90</v>
      </c>
      <c r="BC20" t="s">
        <v>90</v>
      </c>
      <c r="BD20" t="s">
        <v>129</v>
      </c>
      <c r="BE20" t="s">
        <v>91</v>
      </c>
      <c r="BF20" t="s">
        <v>82</v>
      </c>
      <c r="BG20" t="s">
        <v>82</v>
      </c>
      <c r="BH20" t="s">
        <v>82</v>
      </c>
      <c r="BI20" t="s">
        <v>82</v>
      </c>
      <c r="BJ20" t="s">
        <v>82</v>
      </c>
      <c r="BK20" t="s">
        <v>82</v>
      </c>
      <c r="BL20" t="s">
        <v>90</v>
      </c>
      <c r="BM20" t="s">
        <v>294</v>
      </c>
      <c r="BN20" t="s">
        <v>289</v>
      </c>
    </row>
    <row r="21" spans="1:66" x14ac:dyDescent="0.35">
      <c r="A21">
        <v>178823</v>
      </c>
      <c r="B21" t="s">
        <v>295</v>
      </c>
      <c r="C21" t="s">
        <v>65</v>
      </c>
      <c r="D21" t="s">
        <v>66</v>
      </c>
      <c r="E21" t="s">
        <v>67</v>
      </c>
      <c r="F21" t="s">
        <v>123</v>
      </c>
      <c r="G21" t="s">
        <v>69</v>
      </c>
      <c r="H21" t="s">
        <v>70</v>
      </c>
      <c r="I21" t="s">
        <v>296</v>
      </c>
      <c r="J21" t="s">
        <v>297</v>
      </c>
      <c r="K21" t="s">
        <v>298</v>
      </c>
      <c r="L21" t="s">
        <v>298</v>
      </c>
      <c r="M21" t="s">
        <v>299</v>
      </c>
      <c r="N21" t="s">
        <v>82</v>
      </c>
      <c r="O21" t="s">
        <v>77</v>
      </c>
      <c r="P21" s="2">
        <f t="shared" si="0"/>
        <v>0</v>
      </c>
      <c r="Q21" t="s">
        <v>78</v>
      </c>
      <c r="R21" s="2">
        <f t="shared" si="1"/>
        <v>1.3283333333333334</v>
      </c>
      <c r="S21" t="s">
        <v>300</v>
      </c>
      <c r="T21">
        <v>0</v>
      </c>
      <c r="U21">
        <v>1</v>
      </c>
      <c r="V21" t="s">
        <v>80</v>
      </c>
      <c r="W21" t="s">
        <v>82</v>
      </c>
      <c r="X21" t="s">
        <v>81</v>
      </c>
      <c r="Y21" t="s">
        <v>82</v>
      </c>
      <c r="Z21" t="s">
        <v>82</v>
      </c>
      <c r="AA21" t="s">
        <v>83</v>
      </c>
      <c r="AB21" t="s">
        <v>84</v>
      </c>
      <c r="AC21" t="s">
        <v>82</v>
      </c>
      <c r="AD21" t="s">
        <v>85</v>
      </c>
      <c r="AE21" t="s">
        <v>82</v>
      </c>
      <c r="AF21" t="s">
        <v>82</v>
      </c>
      <c r="AG21" t="s">
        <v>87</v>
      </c>
      <c r="AH21" t="s">
        <v>82</v>
      </c>
      <c r="AI21" t="s">
        <v>129</v>
      </c>
      <c r="AJ21" t="s">
        <v>82</v>
      </c>
      <c r="AK21" t="s">
        <v>82</v>
      </c>
      <c r="AL21" t="s">
        <v>82</v>
      </c>
      <c r="AM21" t="s">
        <v>82</v>
      </c>
      <c r="AN21" t="s">
        <v>82</v>
      </c>
      <c r="AO21" t="s">
        <v>82</v>
      </c>
      <c r="AP21" t="s">
        <v>82</v>
      </c>
      <c r="AQ21" t="s">
        <v>82</v>
      </c>
      <c r="AR21" t="s">
        <v>82</v>
      </c>
      <c r="AS21" t="s">
        <v>130</v>
      </c>
      <c r="AT21" t="s">
        <v>129</v>
      </c>
      <c r="AU21" t="s">
        <v>82</v>
      </c>
      <c r="AV21" t="s">
        <v>90</v>
      </c>
      <c r="AW21" t="s">
        <v>90</v>
      </c>
      <c r="AX21" t="s">
        <v>82</v>
      </c>
      <c r="AY21" t="s">
        <v>82</v>
      </c>
      <c r="AZ21" t="s">
        <v>90</v>
      </c>
      <c r="BA21" t="s">
        <v>90</v>
      </c>
      <c r="BB21" t="s">
        <v>90</v>
      </c>
      <c r="BC21" t="s">
        <v>90</v>
      </c>
      <c r="BD21" t="s">
        <v>82</v>
      </c>
      <c r="BE21" t="s">
        <v>90</v>
      </c>
      <c r="BF21" t="s">
        <v>82</v>
      </c>
      <c r="BG21" t="s">
        <v>82</v>
      </c>
      <c r="BH21" t="s">
        <v>82</v>
      </c>
      <c r="BI21" t="s">
        <v>82</v>
      </c>
      <c r="BJ21" t="s">
        <v>82</v>
      </c>
      <c r="BK21" t="s">
        <v>82</v>
      </c>
      <c r="BL21" t="s">
        <v>90</v>
      </c>
      <c r="BM21" t="s">
        <v>147</v>
      </c>
      <c r="BN21" t="s">
        <v>148</v>
      </c>
    </row>
    <row r="22" spans="1:66" x14ac:dyDescent="0.35">
      <c r="A22">
        <v>179141</v>
      </c>
      <c r="B22" t="s">
        <v>301</v>
      </c>
      <c r="C22" t="s">
        <v>65</v>
      </c>
      <c r="D22" t="s">
        <v>66</v>
      </c>
      <c r="E22" t="s">
        <v>67</v>
      </c>
      <c r="F22" t="s">
        <v>123</v>
      </c>
      <c r="G22" t="s">
        <v>69</v>
      </c>
      <c r="H22" t="s">
        <v>70</v>
      </c>
      <c r="I22" t="s">
        <v>302</v>
      </c>
      <c r="J22" t="s">
        <v>303</v>
      </c>
      <c r="K22" t="s">
        <v>304</v>
      </c>
      <c r="L22" t="s">
        <v>304</v>
      </c>
      <c r="M22" t="s">
        <v>305</v>
      </c>
      <c r="N22" t="s">
        <v>82</v>
      </c>
      <c r="O22" t="s">
        <v>77</v>
      </c>
      <c r="P22" s="2">
        <f t="shared" si="0"/>
        <v>0</v>
      </c>
      <c r="Q22" t="s">
        <v>78</v>
      </c>
      <c r="R22" s="2">
        <f t="shared" si="1"/>
        <v>0.65</v>
      </c>
      <c r="S22" t="s">
        <v>306</v>
      </c>
      <c r="T22">
        <v>0</v>
      </c>
      <c r="U22">
        <v>1</v>
      </c>
      <c r="V22" t="s">
        <v>80</v>
      </c>
      <c r="W22" t="s">
        <v>82</v>
      </c>
      <c r="X22" t="s">
        <v>81</v>
      </c>
      <c r="Y22" t="s">
        <v>82</v>
      </c>
      <c r="Z22" t="s">
        <v>82</v>
      </c>
      <c r="AA22" t="s">
        <v>83</v>
      </c>
      <c r="AB22" t="s">
        <v>84</v>
      </c>
      <c r="AC22" t="s">
        <v>82</v>
      </c>
      <c r="AD22" t="s">
        <v>85</v>
      </c>
      <c r="AE22" t="s">
        <v>82</v>
      </c>
      <c r="AF22" t="s">
        <v>82</v>
      </c>
      <c r="AG22" t="s">
        <v>87</v>
      </c>
      <c r="AH22" t="s">
        <v>82</v>
      </c>
      <c r="AI22" t="s">
        <v>129</v>
      </c>
      <c r="AJ22" t="s">
        <v>82</v>
      </c>
      <c r="AK22" t="s">
        <v>82</v>
      </c>
      <c r="AL22" t="s">
        <v>82</v>
      </c>
      <c r="AM22" t="s">
        <v>82</v>
      </c>
      <c r="AN22" t="s">
        <v>82</v>
      </c>
      <c r="AO22" t="s">
        <v>82</v>
      </c>
      <c r="AP22" t="s">
        <v>82</v>
      </c>
      <c r="AQ22" t="s">
        <v>82</v>
      </c>
      <c r="AR22" t="s">
        <v>82</v>
      </c>
      <c r="AS22" t="s">
        <v>130</v>
      </c>
      <c r="AT22" t="s">
        <v>129</v>
      </c>
      <c r="AU22" t="s">
        <v>82</v>
      </c>
      <c r="AV22" t="s">
        <v>90</v>
      </c>
      <c r="AW22" t="s">
        <v>90</v>
      </c>
      <c r="AX22" t="s">
        <v>82</v>
      </c>
      <c r="AY22" t="s">
        <v>82</v>
      </c>
      <c r="AZ22" t="s">
        <v>90</v>
      </c>
      <c r="BA22" t="s">
        <v>90</v>
      </c>
      <c r="BB22" t="s">
        <v>90</v>
      </c>
      <c r="BC22" t="s">
        <v>90</v>
      </c>
      <c r="BD22" t="s">
        <v>82</v>
      </c>
      <c r="BE22" t="s">
        <v>90</v>
      </c>
      <c r="BF22" t="s">
        <v>82</v>
      </c>
      <c r="BG22" t="s">
        <v>82</v>
      </c>
      <c r="BH22" t="s">
        <v>82</v>
      </c>
      <c r="BI22" t="s">
        <v>82</v>
      </c>
      <c r="BJ22" t="s">
        <v>82</v>
      </c>
      <c r="BK22" t="s">
        <v>82</v>
      </c>
      <c r="BL22" t="s">
        <v>90</v>
      </c>
      <c r="BM22" t="s">
        <v>139</v>
      </c>
      <c r="BN22" t="s">
        <v>307</v>
      </c>
    </row>
    <row r="23" spans="1:66" x14ac:dyDescent="0.35">
      <c r="A23">
        <v>179220</v>
      </c>
      <c r="B23" t="s">
        <v>308</v>
      </c>
      <c r="C23" t="s">
        <v>65</v>
      </c>
      <c r="D23" t="s">
        <v>66</v>
      </c>
      <c r="E23" t="s">
        <v>67</v>
      </c>
      <c r="F23" t="s">
        <v>109</v>
      </c>
      <c r="G23" t="s">
        <v>69</v>
      </c>
      <c r="H23" t="s">
        <v>70</v>
      </c>
      <c r="I23" t="s">
        <v>309</v>
      </c>
      <c r="J23" t="s">
        <v>310</v>
      </c>
      <c r="K23" t="s">
        <v>311</v>
      </c>
      <c r="L23" t="s">
        <v>312</v>
      </c>
      <c r="M23" t="s">
        <v>313</v>
      </c>
      <c r="N23" t="s">
        <v>314</v>
      </c>
      <c r="O23" t="s">
        <v>77</v>
      </c>
      <c r="P23" s="2">
        <f t="shared" si="0"/>
        <v>6.916666666666667</v>
      </c>
      <c r="Q23" t="s">
        <v>315</v>
      </c>
      <c r="R23" s="2">
        <f t="shared" si="1"/>
        <v>22.315000000000001</v>
      </c>
      <c r="S23" t="s">
        <v>316</v>
      </c>
      <c r="T23">
        <v>1</v>
      </c>
      <c r="U23">
        <v>1</v>
      </c>
      <c r="V23" t="s">
        <v>80</v>
      </c>
      <c r="W23" t="s">
        <v>80</v>
      </c>
      <c r="X23" t="s">
        <v>81</v>
      </c>
      <c r="Y23" t="s">
        <v>82</v>
      </c>
      <c r="Z23" t="s">
        <v>82</v>
      </c>
      <c r="AA23" t="s">
        <v>83</v>
      </c>
      <c r="AB23" t="s">
        <v>84</v>
      </c>
      <c r="AC23" t="s">
        <v>82</v>
      </c>
      <c r="AD23" t="s">
        <v>85</v>
      </c>
      <c r="AE23" t="s">
        <v>317</v>
      </c>
      <c r="AF23" t="s">
        <v>82</v>
      </c>
      <c r="AG23" t="s">
        <v>87</v>
      </c>
      <c r="AH23" t="s">
        <v>318</v>
      </c>
      <c r="AI23" t="s">
        <v>319</v>
      </c>
      <c r="AJ23" t="s">
        <v>82</v>
      </c>
      <c r="AK23" t="s">
        <v>82</v>
      </c>
      <c r="AL23" t="s">
        <v>82</v>
      </c>
      <c r="AM23" t="s">
        <v>82</v>
      </c>
      <c r="AN23" t="s">
        <v>82</v>
      </c>
      <c r="AO23" t="s">
        <v>82</v>
      </c>
      <c r="AP23" t="s">
        <v>82</v>
      </c>
      <c r="AQ23" t="s">
        <v>82</v>
      </c>
      <c r="AR23" t="s">
        <v>82</v>
      </c>
      <c r="AS23" t="s">
        <v>88</v>
      </c>
      <c r="AT23" t="s">
        <v>318</v>
      </c>
      <c r="AU23" t="s">
        <v>6</v>
      </c>
      <c r="AV23" t="s">
        <v>90</v>
      </c>
      <c r="AW23" t="s">
        <v>91</v>
      </c>
      <c r="AX23" t="s">
        <v>82</v>
      </c>
      <c r="AY23" t="s">
        <v>82</v>
      </c>
      <c r="AZ23" t="s">
        <v>90</v>
      </c>
      <c r="BA23" t="s">
        <v>90</v>
      </c>
      <c r="BB23" t="s">
        <v>91</v>
      </c>
      <c r="BC23" t="s">
        <v>91</v>
      </c>
      <c r="BD23" t="s">
        <v>82</v>
      </c>
      <c r="BE23" t="s">
        <v>90</v>
      </c>
      <c r="BF23" t="s">
        <v>82</v>
      </c>
      <c r="BG23" t="s">
        <v>82</v>
      </c>
      <c r="BH23" t="s">
        <v>82</v>
      </c>
      <c r="BI23" t="s">
        <v>82</v>
      </c>
      <c r="BJ23" t="s">
        <v>82</v>
      </c>
      <c r="BK23" t="s">
        <v>82</v>
      </c>
      <c r="BL23" t="s">
        <v>90</v>
      </c>
      <c r="BM23" t="s">
        <v>317</v>
      </c>
      <c r="BN23" t="s">
        <v>320</v>
      </c>
    </row>
    <row r="24" spans="1:66" x14ac:dyDescent="0.35">
      <c r="A24">
        <v>179527</v>
      </c>
      <c r="B24" t="s">
        <v>321</v>
      </c>
      <c r="C24" t="s">
        <v>65</v>
      </c>
      <c r="D24" t="s">
        <v>66</v>
      </c>
      <c r="E24" t="s">
        <v>67</v>
      </c>
      <c r="F24" t="s">
        <v>123</v>
      </c>
      <c r="G24" t="s">
        <v>69</v>
      </c>
      <c r="H24" t="s">
        <v>70</v>
      </c>
      <c r="I24" t="s">
        <v>322</v>
      </c>
      <c r="J24" t="s">
        <v>323</v>
      </c>
      <c r="K24" t="s">
        <v>324</v>
      </c>
      <c r="L24" t="s">
        <v>324</v>
      </c>
      <c r="M24" t="s">
        <v>325</v>
      </c>
      <c r="N24" t="s">
        <v>82</v>
      </c>
      <c r="O24" t="s">
        <v>77</v>
      </c>
      <c r="P24" s="2">
        <f t="shared" si="0"/>
        <v>0</v>
      </c>
      <c r="Q24" t="s">
        <v>78</v>
      </c>
      <c r="R24" s="2">
        <f t="shared" si="1"/>
        <v>1.2461111111111112</v>
      </c>
      <c r="S24" t="s">
        <v>326</v>
      </c>
      <c r="T24">
        <v>0</v>
      </c>
      <c r="U24">
        <v>1</v>
      </c>
      <c r="V24" t="s">
        <v>80</v>
      </c>
      <c r="W24" t="s">
        <v>82</v>
      </c>
      <c r="X24" t="s">
        <v>81</v>
      </c>
      <c r="Y24" t="s">
        <v>82</v>
      </c>
      <c r="Z24" t="s">
        <v>82</v>
      </c>
      <c r="AA24" t="s">
        <v>83</v>
      </c>
      <c r="AB24" t="s">
        <v>84</v>
      </c>
      <c r="AC24" t="s">
        <v>82</v>
      </c>
      <c r="AD24" t="s">
        <v>85</v>
      </c>
      <c r="AE24" t="s">
        <v>82</v>
      </c>
      <c r="AF24" t="s">
        <v>82</v>
      </c>
      <c r="AG24" t="s">
        <v>87</v>
      </c>
      <c r="AH24" t="s">
        <v>82</v>
      </c>
      <c r="AI24" t="s">
        <v>129</v>
      </c>
      <c r="AJ24" t="s">
        <v>82</v>
      </c>
      <c r="AK24" t="s">
        <v>82</v>
      </c>
      <c r="AL24" t="s">
        <v>82</v>
      </c>
      <c r="AM24" t="s">
        <v>82</v>
      </c>
      <c r="AN24" t="s">
        <v>82</v>
      </c>
      <c r="AO24" t="s">
        <v>82</v>
      </c>
      <c r="AP24" t="s">
        <v>82</v>
      </c>
      <c r="AQ24" t="s">
        <v>82</v>
      </c>
      <c r="AR24" t="s">
        <v>82</v>
      </c>
      <c r="AS24" t="s">
        <v>130</v>
      </c>
      <c r="AT24" t="s">
        <v>129</v>
      </c>
      <c r="AU24" t="s">
        <v>82</v>
      </c>
      <c r="AV24" t="s">
        <v>90</v>
      </c>
      <c r="AW24" t="s">
        <v>90</v>
      </c>
      <c r="AX24" t="s">
        <v>82</v>
      </c>
      <c r="AY24" t="s">
        <v>82</v>
      </c>
      <c r="AZ24" t="s">
        <v>90</v>
      </c>
      <c r="BA24" t="s">
        <v>90</v>
      </c>
      <c r="BB24" t="s">
        <v>90</v>
      </c>
      <c r="BC24" t="s">
        <v>90</v>
      </c>
      <c r="BD24" t="s">
        <v>82</v>
      </c>
      <c r="BE24" t="s">
        <v>90</v>
      </c>
      <c r="BF24" t="s">
        <v>82</v>
      </c>
      <c r="BG24" t="s">
        <v>82</v>
      </c>
      <c r="BH24" t="s">
        <v>82</v>
      </c>
      <c r="BI24" t="s">
        <v>82</v>
      </c>
      <c r="BJ24" t="s">
        <v>82</v>
      </c>
      <c r="BK24" t="s">
        <v>82</v>
      </c>
      <c r="BL24" t="s">
        <v>90</v>
      </c>
      <c r="BM24" t="s">
        <v>139</v>
      </c>
      <c r="BN24" t="s">
        <v>327</v>
      </c>
    </row>
    <row r="25" spans="1:66" x14ac:dyDescent="0.35">
      <c r="A25">
        <v>179578</v>
      </c>
      <c r="B25" t="s">
        <v>328</v>
      </c>
      <c r="C25" t="s">
        <v>65</v>
      </c>
      <c r="D25" t="s">
        <v>66</v>
      </c>
      <c r="E25" t="s">
        <v>95</v>
      </c>
      <c r="F25" t="s">
        <v>187</v>
      </c>
      <c r="G25" t="s">
        <v>69</v>
      </c>
      <c r="H25" t="s">
        <v>70</v>
      </c>
      <c r="I25" t="s">
        <v>329</v>
      </c>
      <c r="J25" t="s">
        <v>330</v>
      </c>
      <c r="K25" t="s">
        <v>331</v>
      </c>
      <c r="L25" t="s">
        <v>332</v>
      </c>
      <c r="M25" t="s">
        <v>333</v>
      </c>
      <c r="N25" t="s">
        <v>334</v>
      </c>
      <c r="O25" t="s">
        <v>77</v>
      </c>
      <c r="P25" s="2">
        <f t="shared" si="0"/>
        <v>9.466666666666665</v>
      </c>
      <c r="Q25" t="s">
        <v>335</v>
      </c>
      <c r="R25" s="2">
        <f t="shared" si="1"/>
        <v>16.569444444444443</v>
      </c>
      <c r="S25" t="s">
        <v>336</v>
      </c>
      <c r="T25">
        <v>3</v>
      </c>
      <c r="U25">
        <v>5</v>
      </c>
      <c r="V25" t="s">
        <v>80</v>
      </c>
      <c r="W25" t="s">
        <v>80</v>
      </c>
      <c r="X25" t="s">
        <v>81</v>
      </c>
      <c r="Y25" t="s">
        <v>82</v>
      </c>
      <c r="Z25" t="s">
        <v>82</v>
      </c>
      <c r="AA25" t="s">
        <v>83</v>
      </c>
      <c r="AB25" t="s">
        <v>84</v>
      </c>
      <c r="AC25" t="s">
        <v>82</v>
      </c>
      <c r="AD25" t="s">
        <v>220</v>
      </c>
      <c r="AE25" t="s">
        <v>337</v>
      </c>
      <c r="AF25" t="s">
        <v>82</v>
      </c>
      <c r="AG25" t="s">
        <v>87</v>
      </c>
      <c r="AH25" t="s">
        <v>338</v>
      </c>
      <c r="AI25" t="s">
        <v>339</v>
      </c>
      <c r="AJ25" t="s">
        <v>82</v>
      </c>
      <c r="AK25" t="s">
        <v>82</v>
      </c>
      <c r="AL25" t="s">
        <v>82</v>
      </c>
      <c r="AM25" t="s">
        <v>82</v>
      </c>
      <c r="AN25" t="s">
        <v>82</v>
      </c>
      <c r="AO25" t="s">
        <v>82</v>
      </c>
      <c r="AP25" t="s">
        <v>82</v>
      </c>
      <c r="AQ25" t="s">
        <v>82</v>
      </c>
      <c r="AR25" t="s">
        <v>340</v>
      </c>
      <c r="AS25" t="s">
        <v>292</v>
      </c>
      <c r="AT25" t="s">
        <v>338</v>
      </c>
      <c r="AU25" t="s">
        <v>6</v>
      </c>
      <c r="AV25" t="s">
        <v>90</v>
      </c>
      <c r="AW25" t="s">
        <v>90</v>
      </c>
      <c r="AX25" t="s">
        <v>82</v>
      </c>
      <c r="AY25" t="s">
        <v>82</v>
      </c>
      <c r="AZ25" t="s">
        <v>90</v>
      </c>
      <c r="BA25" t="s">
        <v>90</v>
      </c>
      <c r="BB25" t="s">
        <v>90</v>
      </c>
      <c r="BC25" t="s">
        <v>90</v>
      </c>
      <c r="BD25" t="s">
        <v>82</v>
      </c>
      <c r="BE25" t="s">
        <v>90</v>
      </c>
      <c r="BF25" t="s">
        <v>82</v>
      </c>
      <c r="BG25" t="s">
        <v>82</v>
      </c>
      <c r="BH25" t="s">
        <v>82</v>
      </c>
      <c r="BI25" t="s">
        <v>82</v>
      </c>
      <c r="BJ25" t="s">
        <v>82</v>
      </c>
      <c r="BK25" t="s">
        <v>82</v>
      </c>
      <c r="BL25" t="s">
        <v>90</v>
      </c>
      <c r="BM25" t="s">
        <v>341</v>
      </c>
      <c r="BN25" t="s">
        <v>342</v>
      </c>
    </row>
    <row r="26" spans="1:66" x14ac:dyDescent="0.35">
      <c r="A26">
        <v>179687</v>
      </c>
      <c r="B26" t="s">
        <v>343</v>
      </c>
      <c r="C26" t="s">
        <v>65</v>
      </c>
      <c r="D26" t="s">
        <v>66</v>
      </c>
      <c r="E26" t="s">
        <v>67</v>
      </c>
      <c r="F26" t="s">
        <v>123</v>
      </c>
      <c r="G26" t="s">
        <v>69</v>
      </c>
      <c r="H26" t="s">
        <v>70</v>
      </c>
      <c r="I26" t="s">
        <v>344</v>
      </c>
      <c r="J26" t="s">
        <v>345</v>
      </c>
      <c r="K26" t="s">
        <v>346</v>
      </c>
      <c r="L26" t="s">
        <v>346</v>
      </c>
      <c r="M26" t="s">
        <v>347</v>
      </c>
      <c r="N26" t="s">
        <v>82</v>
      </c>
      <c r="O26" t="s">
        <v>77</v>
      </c>
      <c r="P26" s="2">
        <f t="shared" si="0"/>
        <v>0</v>
      </c>
      <c r="Q26" t="s">
        <v>78</v>
      </c>
      <c r="R26" s="2">
        <f t="shared" si="1"/>
        <v>0.62444444444444447</v>
      </c>
      <c r="S26" t="s">
        <v>348</v>
      </c>
      <c r="T26">
        <v>0</v>
      </c>
      <c r="U26">
        <v>1</v>
      </c>
      <c r="V26" t="s">
        <v>80</v>
      </c>
      <c r="W26" t="s">
        <v>82</v>
      </c>
      <c r="X26" t="s">
        <v>81</v>
      </c>
      <c r="Y26" t="s">
        <v>82</v>
      </c>
      <c r="Z26" t="s">
        <v>82</v>
      </c>
      <c r="AA26" t="s">
        <v>83</v>
      </c>
      <c r="AB26" t="s">
        <v>84</v>
      </c>
      <c r="AC26" t="s">
        <v>82</v>
      </c>
      <c r="AD26" t="s">
        <v>85</v>
      </c>
      <c r="AE26" t="s">
        <v>82</v>
      </c>
      <c r="AF26" t="s">
        <v>82</v>
      </c>
      <c r="AG26" t="s">
        <v>87</v>
      </c>
      <c r="AH26" t="s">
        <v>82</v>
      </c>
      <c r="AI26" t="s">
        <v>129</v>
      </c>
      <c r="AJ26" t="s">
        <v>82</v>
      </c>
      <c r="AK26" t="s">
        <v>82</v>
      </c>
      <c r="AL26" t="s">
        <v>82</v>
      </c>
      <c r="AM26" t="s">
        <v>82</v>
      </c>
      <c r="AN26" t="s">
        <v>82</v>
      </c>
      <c r="AO26" t="s">
        <v>82</v>
      </c>
      <c r="AP26" t="s">
        <v>82</v>
      </c>
      <c r="AQ26" t="s">
        <v>82</v>
      </c>
      <c r="AR26" t="s">
        <v>82</v>
      </c>
      <c r="AS26" t="s">
        <v>130</v>
      </c>
      <c r="AT26" t="s">
        <v>129</v>
      </c>
      <c r="AU26" t="s">
        <v>82</v>
      </c>
      <c r="AV26" t="s">
        <v>90</v>
      </c>
      <c r="AW26" t="s">
        <v>90</v>
      </c>
      <c r="AX26" t="s">
        <v>82</v>
      </c>
      <c r="AY26" t="s">
        <v>82</v>
      </c>
      <c r="AZ26" t="s">
        <v>90</v>
      </c>
      <c r="BA26" t="s">
        <v>90</v>
      </c>
      <c r="BB26" t="s">
        <v>90</v>
      </c>
      <c r="BC26" t="s">
        <v>90</v>
      </c>
      <c r="BD26" t="s">
        <v>82</v>
      </c>
      <c r="BE26" t="s">
        <v>90</v>
      </c>
      <c r="BF26" t="s">
        <v>82</v>
      </c>
      <c r="BG26" t="s">
        <v>82</v>
      </c>
      <c r="BH26" t="s">
        <v>82</v>
      </c>
      <c r="BI26" t="s">
        <v>82</v>
      </c>
      <c r="BJ26" t="s">
        <v>82</v>
      </c>
      <c r="BK26" t="s">
        <v>82</v>
      </c>
      <c r="BL26" t="s">
        <v>90</v>
      </c>
      <c r="BM26" t="s">
        <v>139</v>
      </c>
      <c r="BN26" t="s">
        <v>349</v>
      </c>
    </row>
    <row r="27" spans="1:66" x14ac:dyDescent="0.35">
      <c r="A27">
        <v>181209</v>
      </c>
      <c r="B27" t="s">
        <v>350</v>
      </c>
      <c r="C27" t="s">
        <v>65</v>
      </c>
      <c r="D27" t="s">
        <v>66</v>
      </c>
      <c r="E27" t="s">
        <v>67</v>
      </c>
      <c r="F27" t="s">
        <v>68</v>
      </c>
      <c r="G27" t="s">
        <v>69</v>
      </c>
      <c r="H27" t="s">
        <v>70</v>
      </c>
      <c r="I27" t="s">
        <v>351</v>
      </c>
      <c r="J27" t="s">
        <v>352</v>
      </c>
      <c r="K27" t="s">
        <v>353</v>
      </c>
      <c r="L27" t="s">
        <v>354</v>
      </c>
      <c r="M27" t="s">
        <v>355</v>
      </c>
      <c r="N27" t="s">
        <v>356</v>
      </c>
      <c r="O27" t="s">
        <v>77</v>
      </c>
      <c r="P27" s="2">
        <f t="shared" si="0"/>
        <v>7.5166666666666657</v>
      </c>
      <c r="Q27" t="s">
        <v>357</v>
      </c>
      <c r="R27" s="2">
        <f t="shared" si="1"/>
        <v>38.135833333333331</v>
      </c>
      <c r="S27" t="s">
        <v>358</v>
      </c>
      <c r="T27">
        <v>6</v>
      </c>
      <c r="U27">
        <v>4</v>
      </c>
      <c r="V27" t="s">
        <v>80</v>
      </c>
      <c r="W27" t="s">
        <v>80</v>
      </c>
      <c r="X27" t="s">
        <v>81</v>
      </c>
      <c r="Y27" t="s">
        <v>82</v>
      </c>
      <c r="Z27" t="s">
        <v>82</v>
      </c>
      <c r="AA27" t="s">
        <v>83</v>
      </c>
      <c r="AB27" t="s">
        <v>84</v>
      </c>
      <c r="AC27" t="s">
        <v>82</v>
      </c>
      <c r="AD27" t="s">
        <v>85</v>
      </c>
      <c r="AE27" t="s">
        <v>359</v>
      </c>
      <c r="AF27" t="s">
        <v>82</v>
      </c>
      <c r="AG27" t="s">
        <v>87</v>
      </c>
      <c r="AH27" t="s">
        <v>360</v>
      </c>
      <c r="AI27" t="s">
        <v>361</v>
      </c>
      <c r="AJ27" t="s">
        <v>82</v>
      </c>
      <c r="AK27" t="s">
        <v>82</v>
      </c>
      <c r="AL27" t="s">
        <v>82</v>
      </c>
      <c r="AM27" t="s">
        <v>82</v>
      </c>
      <c r="AN27" t="s">
        <v>82</v>
      </c>
      <c r="AO27" t="s">
        <v>82</v>
      </c>
      <c r="AP27" t="s">
        <v>82</v>
      </c>
      <c r="AQ27" t="s">
        <v>82</v>
      </c>
      <c r="AR27" t="s">
        <v>82</v>
      </c>
      <c r="AS27" t="s">
        <v>88</v>
      </c>
      <c r="AT27" t="s">
        <v>360</v>
      </c>
      <c r="AU27" t="s">
        <v>106</v>
      </c>
      <c r="AV27" t="s">
        <v>90</v>
      </c>
      <c r="AW27" t="s">
        <v>91</v>
      </c>
      <c r="AX27" t="s">
        <v>82</v>
      </c>
      <c r="AY27" t="s">
        <v>82</v>
      </c>
      <c r="AZ27" t="s">
        <v>90</v>
      </c>
      <c r="BA27" t="s">
        <v>90</v>
      </c>
      <c r="BB27" t="s">
        <v>91</v>
      </c>
      <c r="BC27" t="s">
        <v>91</v>
      </c>
      <c r="BD27" t="s">
        <v>82</v>
      </c>
      <c r="BE27" t="s">
        <v>90</v>
      </c>
      <c r="BF27" t="s">
        <v>82</v>
      </c>
      <c r="BG27" t="s">
        <v>82</v>
      </c>
      <c r="BH27" t="s">
        <v>82</v>
      </c>
      <c r="BI27" t="s">
        <v>82</v>
      </c>
      <c r="BJ27" t="s">
        <v>82</v>
      </c>
      <c r="BK27" t="s">
        <v>82</v>
      </c>
      <c r="BL27" t="s">
        <v>90</v>
      </c>
      <c r="BM27" t="s">
        <v>362</v>
      </c>
      <c r="BN27" t="s">
        <v>363</v>
      </c>
    </row>
    <row r="28" spans="1:66" x14ac:dyDescent="0.35">
      <c r="A28">
        <v>181255</v>
      </c>
      <c r="B28" t="s">
        <v>364</v>
      </c>
      <c r="C28" t="s">
        <v>65</v>
      </c>
      <c r="D28" t="s">
        <v>66</v>
      </c>
      <c r="E28" t="s">
        <v>95</v>
      </c>
      <c r="F28" t="s">
        <v>187</v>
      </c>
      <c r="G28" t="s">
        <v>69</v>
      </c>
      <c r="H28" t="s">
        <v>70</v>
      </c>
      <c r="I28" t="s">
        <v>365</v>
      </c>
      <c r="J28" t="s">
        <v>366</v>
      </c>
      <c r="K28" t="s">
        <v>353</v>
      </c>
      <c r="L28" t="s">
        <v>354</v>
      </c>
      <c r="M28" t="s">
        <v>355</v>
      </c>
      <c r="N28" t="s">
        <v>367</v>
      </c>
      <c r="O28" t="s">
        <v>77</v>
      </c>
      <c r="P28" s="2">
        <f t="shared" si="0"/>
        <v>36.35</v>
      </c>
      <c r="Q28" t="s">
        <v>368</v>
      </c>
      <c r="R28" s="2">
        <f t="shared" si="1"/>
        <v>37.452777777777776</v>
      </c>
      <c r="S28" t="s">
        <v>369</v>
      </c>
      <c r="T28">
        <v>5</v>
      </c>
      <c r="U28">
        <v>5</v>
      </c>
      <c r="V28" t="s">
        <v>80</v>
      </c>
      <c r="W28" t="s">
        <v>80</v>
      </c>
      <c r="X28" t="s">
        <v>81</v>
      </c>
      <c r="Y28" t="s">
        <v>82</v>
      </c>
      <c r="Z28" t="s">
        <v>82</v>
      </c>
      <c r="AA28" t="s">
        <v>83</v>
      </c>
      <c r="AB28" t="s">
        <v>84</v>
      </c>
      <c r="AC28" t="s">
        <v>82</v>
      </c>
      <c r="AD28" t="s">
        <v>85</v>
      </c>
      <c r="AE28" t="s">
        <v>370</v>
      </c>
      <c r="AF28" t="s">
        <v>82</v>
      </c>
      <c r="AG28" t="s">
        <v>87</v>
      </c>
      <c r="AH28" t="s">
        <v>371</v>
      </c>
      <c r="AI28" t="s">
        <v>372</v>
      </c>
      <c r="AJ28" t="s">
        <v>82</v>
      </c>
      <c r="AK28" t="s">
        <v>82</v>
      </c>
      <c r="AL28" t="s">
        <v>82</v>
      </c>
      <c r="AM28" t="s">
        <v>82</v>
      </c>
      <c r="AN28" t="s">
        <v>82</v>
      </c>
      <c r="AO28" t="s">
        <v>82</v>
      </c>
      <c r="AP28" t="s">
        <v>82</v>
      </c>
      <c r="AQ28" t="s">
        <v>82</v>
      </c>
      <c r="AR28" t="s">
        <v>373</v>
      </c>
      <c r="AS28" t="s">
        <v>88</v>
      </c>
      <c r="AT28" t="s">
        <v>371</v>
      </c>
      <c r="AU28" t="s">
        <v>6</v>
      </c>
      <c r="AV28" t="s">
        <v>90</v>
      </c>
      <c r="AW28" t="s">
        <v>91</v>
      </c>
      <c r="AX28" t="s">
        <v>82</v>
      </c>
      <c r="AY28" t="s">
        <v>82</v>
      </c>
      <c r="AZ28" t="s">
        <v>90</v>
      </c>
      <c r="BA28" t="s">
        <v>90</v>
      </c>
      <c r="BB28" t="s">
        <v>91</v>
      </c>
      <c r="BC28" t="s">
        <v>91</v>
      </c>
      <c r="BD28" t="s">
        <v>82</v>
      </c>
      <c r="BE28" t="s">
        <v>90</v>
      </c>
      <c r="BF28" t="s">
        <v>82</v>
      </c>
      <c r="BG28" t="s">
        <v>82</v>
      </c>
      <c r="BH28" t="s">
        <v>82</v>
      </c>
      <c r="BI28" t="s">
        <v>82</v>
      </c>
      <c r="BJ28" t="s">
        <v>82</v>
      </c>
      <c r="BK28" t="s">
        <v>82</v>
      </c>
      <c r="BL28" t="s">
        <v>90</v>
      </c>
      <c r="BM28" t="s">
        <v>374</v>
      </c>
      <c r="BN28" t="s">
        <v>375</v>
      </c>
    </row>
    <row r="29" spans="1:66" x14ac:dyDescent="0.35">
      <c r="A29">
        <v>181573</v>
      </c>
      <c r="B29" t="s">
        <v>94</v>
      </c>
      <c r="C29" t="s">
        <v>65</v>
      </c>
      <c r="D29" t="s">
        <v>66</v>
      </c>
      <c r="E29" t="s">
        <v>95</v>
      </c>
      <c r="F29" t="s">
        <v>158</v>
      </c>
      <c r="G29" t="s">
        <v>69</v>
      </c>
      <c r="H29" t="s">
        <v>70</v>
      </c>
      <c r="I29" t="s">
        <v>376</v>
      </c>
      <c r="J29" t="s">
        <v>377</v>
      </c>
      <c r="K29" t="s">
        <v>378</v>
      </c>
      <c r="L29" t="s">
        <v>379</v>
      </c>
      <c r="M29" t="s">
        <v>380</v>
      </c>
      <c r="N29" t="s">
        <v>381</v>
      </c>
      <c r="O29" t="s">
        <v>77</v>
      </c>
      <c r="P29" s="2">
        <f t="shared" si="0"/>
        <v>3.816666666666666</v>
      </c>
      <c r="Q29" t="s">
        <v>382</v>
      </c>
      <c r="R29" s="2">
        <f t="shared" si="1"/>
        <v>135.18472222222223</v>
      </c>
      <c r="S29" t="s">
        <v>383</v>
      </c>
      <c r="T29">
        <v>10</v>
      </c>
      <c r="U29">
        <v>11</v>
      </c>
      <c r="V29" t="s">
        <v>80</v>
      </c>
      <c r="W29" t="s">
        <v>80</v>
      </c>
      <c r="X29" t="s">
        <v>384</v>
      </c>
      <c r="Y29" t="s">
        <v>82</v>
      </c>
      <c r="Z29" t="s">
        <v>82</v>
      </c>
      <c r="AA29" t="s">
        <v>83</v>
      </c>
      <c r="AB29" t="s">
        <v>84</v>
      </c>
      <c r="AC29" t="s">
        <v>82</v>
      </c>
      <c r="AD29" t="s">
        <v>85</v>
      </c>
      <c r="AE29" t="s">
        <v>385</v>
      </c>
      <c r="AF29" t="s">
        <v>82</v>
      </c>
      <c r="AG29" t="s">
        <v>87</v>
      </c>
      <c r="AH29" t="s">
        <v>104</v>
      </c>
      <c r="AI29" t="s">
        <v>105</v>
      </c>
      <c r="AJ29" t="s">
        <v>82</v>
      </c>
      <c r="AK29" t="s">
        <v>82</v>
      </c>
      <c r="AL29" t="s">
        <v>82</v>
      </c>
      <c r="AM29" t="s">
        <v>82</v>
      </c>
      <c r="AN29" t="s">
        <v>169</v>
      </c>
      <c r="AO29" t="s">
        <v>82</v>
      </c>
      <c r="AP29" t="s">
        <v>82</v>
      </c>
      <c r="AQ29" t="s">
        <v>82</v>
      </c>
      <c r="AR29" t="s">
        <v>82</v>
      </c>
      <c r="AS29" t="s">
        <v>88</v>
      </c>
      <c r="AT29" t="s">
        <v>386</v>
      </c>
      <c r="AU29" t="s">
        <v>6</v>
      </c>
      <c r="AV29" t="s">
        <v>90</v>
      </c>
      <c r="AW29" t="s">
        <v>91</v>
      </c>
      <c r="AX29" t="s">
        <v>82</v>
      </c>
      <c r="AY29" t="s">
        <v>82</v>
      </c>
      <c r="AZ29" t="s">
        <v>90</v>
      </c>
      <c r="BA29" t="s">
        <v>90</v>
      </c>
      <c r="BB29" t="s">
        <v>91</v>
      </c>
      <c r="BC29" t="s">
        <v>91</v>
      </c>
      <c r="BD29" t="s">
        <v>82</v>
      </c>
      <c r="BE29" t="s">
        <v>90</v>
      </c>
      <c r="BF29" t="s">
        <v>82</v>
      </c>
      <c r="BG29" t="s">
        <v>82</v>
      </c>
      <c r="BH29" t="s">
        <v>82</v>
      </c>
      <c r="BI29" t="s">
        <v>82</v>
      </c>
      <c r="BJ29" t="s">
        <v>82</v>
      </c>
      <c r="BK29" t="s">
        <v>82</v>
      </c>
      <c r="BL29" t="s">
        <v>90</v>
      </c>
      <c r="BM29" t="s">
        <v>104</v>
      </c>
      <c r="BN29" t="s">
        <v>107</v>
      </c>
    </row>
    <row r="30" spans="1:66" x14ac:dyDescent="0.35">
      <c r="A30">
        <v>181720</v>
      </c>
      <c r="B30" t="s">
        <v>387</v>
      </c>
      <c r="C30" t="s">
        <v>65</v>
      </c>
      <c r="D30" t="s">
        <v>66</v>
      </c>
      <c r="E30" t="s">
        <v>67</v>
      </c>
      <c r="F30" t="s">
        <v>68</v>
      </c>
      <c r="G30" t="s">
        <v>69</v>
      </c>
      <c r="H30" t="s">
        <v>70</v>
      </c>
      <c r="I30" t="s">
        <v>388</v>
      </c>
      <c r="J30" t="s">
        <v>389</v>
      </c>
      <c r="K30" t="s">
        <v>390</v>
      </c>
      <c r="L30" t="s">
        <v>391</v>
      </c>
      <c r="M30" t="s">
        <v>392</v>
      </c>
      <c r="N30" t="s">
        <v>393</v>
      </c>
      <c r="O30" t="s">
        <v>77</v>
      </c>
      <c r="P30" s="2">
        <f t="shared" si="0"/>
        <v>15.800000000000002</v>
      </c>
      <c r="Q30" t="s">
        <v>394</v>
      </c>
      <c r="R30" s="2">
        <f t="shared" si="1"/>
        <v>20.720277777777778</v>
      </c>
      <c r="S30" t="s">
        <v>395</v>
      </c>
      <c r="T30">
        <v>3</v>
      </c>
      <c r="U30">
        <v>2</v>
      </c>
      <c r="V30" t="s">
        <v>80</v>
      </c>
      <c r="W30" t="s">
        <v>80</v>
      </c>
      <c r="X30" t="s">
        <v>81</v>
      </c>
      <c r="Y30" t="s">
        <v>82</v>
      </c>
      <c r="Z30" t="s">
        <v>82</v>
      </c>
      <c r="AA30" t="s">
        <v>83</v>
      </c>
      <c r="AB30" t="s">
        <v>84</v>
      </c>
      <c r="AC30" t="s">
        <v>82</v>
      </c>
      <c r="AD30" t="s">
        <v>85</v>
      </c>
      <c r="AE30" t="s">
        <v>396</v>
      </c>
      <c r="AF30" t="s">
        <v>82</v>
      </c>
      <c r="AG30" t="s">
        <v>87</v>
      </c>
      <c r="AH30" t="s">
        <v>89</v>
      </c>
      <c r="AI30" t="s">
        <v>86</v>
      </c>
      <c r="AJ30" t="s">
        <v>82</v>
      </c>
      <c r="AK30" t="s">
        <v>82</v>
      </c>
      <c r="AL30" t="s">
        <v>82</v>
      </c>
      <c r="AM30" t="s">
        <v>82</v>
      </c>
      <c r="AN30" t="s">
        <v>82</v>
      </c>
      <c r="AO30" t="s">
        <v>82</v>
      </c>
      <c r="AP30" t="s">
        <v>82</v>
      </c>
      <c r="AQ30" t="s">
        <v>82</v>
      </c>
      <c r="AR30" t="s">
        <v>82</v>
      </c>
      <c r="AS30" t="s">
        <v>130</v>
      </c>
      <c r="AT30" t="s">
        <v>89</v>
      </c>
      <c r="AU30" t="s">
        <v>6</v>
      </c>
      <c r="AV30" t="s">
        <v>90</v>
      </c>
      <c r="AW30" t="s">
        <v>90</v>
      </c>
      <c r="AX30" t="s">
        <v>82</v>
      </c>
      <c r="AY30" t="s">
        <v>82</v>
      </c>
      <c r="AZ30" t="s">
        <v>90</v>
      </c>
      <c r="BA30" t="s">
        <v>90</v>
      </c>
      <c r="BB30" t="s">
        <v>90</v>
      </c>
      <c r="BC30" t="s">
        <v>91</v>
      </c>
      <c r="BD30" t="s">
        <v>82</v>
      </c>
      <c r="BE30" t="s">
        <v>90</v>
      </c>
      <c r="BF30" t="s">
        <v>82</v>
      </c>
      <c r="BG30" t="s">
        <v>82</v>
      </c>
      <c r="BH30" t="s">
        <v>82</v>
      </c>
      <c r="BI30" t="s">
        <v>82</v>
      </c>
      <c r="BJ30" t="s">
        <v>82</v>
      </c>
      <c r="BK30" t="s">
        <v>82</v>
      </c>
      <c r="BL30" t="s">
        <v>90</v>
      </c>
      <c r="BM30" t="s">
        <v>92</v>
      </c>
      <c r="BN30" t="s">
        <v>93</v>
      </c>
    </row>
    <row r="31" spans="1:66" x14ac:dyDescent="0.35">
      <c r="A31">
        <v>182014</v>
      </c>
      <c r="B31" t="s">
        <v>397</v>
      </c>
      <c r="C31" t="s">
        <v>65</v>
      </c>
      <c r="D31" t="s">
        <v>66</v>
      </c>
      <c r="E31" t="s">
        <v>67</v>
      </c>
      <c r="F31" t="s">
        <v>109</v>
      </c>
      <c r="G31" t="s">
        <v>69</v>
      </c>
      <c r="H31" t="s">
        <v>70</v>
      </c>
      <c r="I31" t="s">
        <v>398</v>
      </c>
      <c r="J31" t="s">
        <v>399</v>
      </c>
      <c r="K31" t="s">
        <v>400</v>
      </c>
      <c r="L31" t="s">
        <v>400</v>
      </c>
      <c r="M31" t="s">
        <v>401</v>
      </c>
      <c r="N31" t="s">
        <v>402</v>
      </c>
      <c r="O31" t="s">
        <v>77</v>
      </c>
      <c r="P31" s="2">
        <f t="shared" si="0"/>
        <v>23.483333333333334</v>
      </c>
      <c r="Q31" t="s">
        <v>403</v>
      </c>
      <c r="R31" s="2">
        <f t="shared" si="1"/>
        <v>11.666666666666666</v>
      </c>
      <c r="S31" t="s">
        <v>404</v>
      </c>
      <c r="T31">
        <v>2</v>
      </c>
      <c r="U31">
        <v>2</v>
      </c>
      <c r="V31" t="s">
        <v>80</v>
      </c>
      <c r="W31" t="s">
        <v>80</v>
      </c>
      <c r="X31" t="s">
        <v>81</v>
      </c>
      <c r="Y31" t="s">
        <v>82</v>
      </c>
      <c r="Z31" t="s">
        <v>82</v>
      </c>
      <c r="AA31" t="s">
        <v>83</v>
      </c>
      <c r="AB31" t="s">
        <v>84</v>
      </c>
      <c r="AC31" t="s">
        <v>82</v>
      </c>
      <c r="AD31" t="s">
        <v>85</v>
      </c>
      <c r="AE31" t="s">
        <v>405</v>
      </c>
      <c r="AF31" t="s">
        <v>82</v>
      </c>
      <c r="AG31" t="s">
        <v>87</v>
      </c>
      <c r="AH31" t="s">
        <v>406</v>
      </c>
      <c r="AI31" t="s">
        <v>407</v>
      </c>
      <c r="AJ31" t="s">
        <v>82</v>
      </c>
      <c r="AK31" t="s">
        <v>82</v>
      </c>
      <c r="AL31" t="s">
        <v>82</v>
      </c>
      <c r="AM31" t="s">
        <v>82</v>
      </c>
      <c r="AN31" t="s">
        <v>82</v>
      </c>
      <c r="AO31" t="s">
        <v>82</v>
      </c>
      <c r="AP31" t="s">
        <v>82</v>
      </c>
      <c r="AQ31" t="s">
        <v>82</v>
      </c>
      <c r="AR31" t="s">
        <v>82</v>
      </c>
      <c r="AS31" t="s">
        <v>88</v>
      </c>
      <c r="AT31" t="s">
        <v>406</v>
      </c>
      <c r="AU31" t="s">
        <v>6</v>
      </c>
      <c r="AV31" t="s">
        <v>90</v>
      </c>
      <c r="AW31" t="s">
        <v>90</v>
      </c>
      <c r="AX31" t="s">
        <v>82</v>
      </c>
      <c r="AY31" t="s">
        <v>82</v>
      </c>
      <c r="AZ31" t="s">
        <v>90</v>
      </c>
      <c r="BA31" t="s">
        <v>90</v>
      </c>
      <c r="BB31" t="s">
        <v>90</v>
      </c>
      <c r="BC31" t="s">
        <v>90</v>
      </c>
      <c r="BD31" t="s">
        <v>82</v>
      </c>
      <c r="BE31" t="s">
        <v>90</v>
      </c>
      <c r="BF31" t="s">
        <v>82</v>
      </c>
      <c r="BG31" t="s">
        <v>82</v>
      </c>
      <c r="BH31" t="s">
        <v>82</v>
      </c>
      <c r="BI31" t="s">
        <v>82</v>
      </c>
      <c r="BJ31" t="s">
        <v>82</v>
      </c>
      <c r="BK31" t="s">
        <v>82</v>
      </c>
      <c r="BL31" t="s">
        <v>90</v>
      </c>
      <c r="BM31" t="s">
        <v>408</v>
      </c>
      <c r="BN31" t="s">
        <v>409</v>
      </c>
    </row>
    <row r="32" spans="1:66" x14ac:dyDescent="0.35">
      <c r="A32">
        <v>182142</v>
      </c>
      <c r="B32" t="s">
        <v>410</v>
      </c>
      <c r="C32" t="s">
        <v>65</v>
      </c>
      <c r="D32" t="s">
        <v>66</v>
      </c>
      <c r="E32" t="s">
        <v>67</v>
      </c>
      <c r="F32" t="s">
        <v>123</v>
      </c>
      <c r="G32" t="s">
        <v>69</v>
      </c>
      <c r="H32" t="s">
        <v>70</v>
      </c>
      <c r="I32" t="s">
        <v>411</v>
      </c>
      <c r="J32" t="s">
        <v>412</v>
      </c>
      <c r="K32" t="s">
        <v>413</v>
      </c>
      <c r="L32" t="s">
        <v>413</v>
      </c>
      <c r="M32" t="s">
        <v>414</v>
      </c>
      <c r="N32" t="s">
        <v>82</v>
      </c>
      <c r="O32" t="s">
        <v>77</v>
      </c>
      <c r="P32" s="2">
        <f t="shared" si="0"/>
        <v>0</v>
      </c>
      <c r="Q32" t="s">
        <v>78</v>
      </c>
      <c r="R32" s="2">
        <f t="shared" si="1"/>
        <v>0.40500000000000003</v>
      </c>
      <c r="S32" t="s">
        <v>415</v>
      </c>
      <c r="T32">
        <v>0</v>
      </c>
      <c r="U32">
        <v>1</v>
      </c>
      <c r="V32" t="s">
        <v>80</v>
      </c>
      <c r="W32" t="s">
        <v>82</v>
      </c>
      <c r="X32" t="s">
        <v>81</v>
      </c>
      <c r="Y32" t="s">
        <v>82</v>
      </c>
      <c r="Z32" t="s">
        <v>82</v>
      </c>
      <c r="AA32" t="s">
        <v>83</v>
      </c>
      <c r="AB32" t="s">
        <v>84</v>
      </c>
      <c r="AC32" t="s">
        <v>82</v>
      </c>
      <c r="AD32" t="s">
        <v>85</v>
      </c>
      <c r="AE32" t="s">
        <v>82</v>
      </c>
      <c r="AF32" t="s">
        <v>82</v>
      </c>
      <c r="AG32" t="s">
        <v>87</v>
      </c>
      <c r="AH32" t="s">
        <v>82</v>
      </c>
      <c r="AI32" t="s">
        <v>129</v>
      </c>
      <c r="AJ32" t="s">
        <v>82</v>
      </c>
      <c r="AK32" t="s">
        <v>82</v>
      </c>
      <c r="AL32" t="s">
        <v>82</v>
      </c>
      <c r="AM32" t="s">
        <v>82</v>
      </c>
      <c r="AN32" t="s">
        <v>82</v>
      </c>
      <c r="AO32" t="s">
        <v>82</v>
      </c>
      <c r="AP32" t="s">
        <v>82</v>
      </c>
      <c r="AQ32" t="s">
        <v>82</v>
      </c>
      <c r="AR32" t="s">
        <v>82</v>
      </c>
      <c r="AS32" t="s">
        <v>130</v>
      </c>
      <c r="AT32" t="s">
        <v>129</v>
      </c>
      <c r="AU32" t="s">
        <v>82</v>
      </c>
      <c r="AV32" t="s">
        <v>90</v>
      </c>
      <c r="AW32" t="s">
        <v>90</v>
      </c>
      <c r="AX32" t="s">
        <v>82</v>
      </c>
      <c r="AY32" t="s">
        <v>82</v>
      </c>
      <c r="AZ32" t="s">
        <v>90</v>
      </c>
      <c r="BA32" t="s">
        <v>90</v>
      </c>
      <c r="BB32" t="s">
        <v>90</v>
      </c>
      <c r="BC32" t="s">
        <v>90</v>
      </c>
      <c r="BD32" t="s">
        <v>82</v>
      </c>
      <c r="BE32" t="s">
        <v>90</v>
      </c>
      <c r="BF32" t="s">
        <v>82</v>
      </c>
      <c r="BG32" t="s">
        <v>82</v>
      </c>
      <c r="BH32" t="s">
        <v>82</v>
      </c>
      <c r="BI32" t="s">
        <v>82</v>
      </c>
      <c r="BJ32" t="s">
        <v>82</v>
      </c>
      <c r="BK32" t="s">
        <v>82</v>
      </c>
      <c r="BL32" t="s">
        <v>90</v>
      </c>
      <c r="BM32" t="s">
        <v>139</v>
      </c>
      <c r="BN32" t="s">
        <v>416</v>
      </c>
    </row>
    <row r="33" spans="1:66" x14ac:dyDescent="0.35">
      <c r="A33">
        <v>182153</v>
      </c>
      <c r="B33" t="s">
        <v>417</v>
      </c>
      <c r="C33" t="s">
        <v>65</v>
      </c>
      <c r="D33" t="s">
        <v>66</v>
      </c>
      <c r="E33" t="s">
        <v>67</v>
      </c>
      <c r="F33" t="s">
        <v>418</v>
      </c>
      <c r="G33" t="s">
        <v>69</v>
      </c>
      <c r="H33" t="s">
        <v>70</v>
      </c>
      <c r="I33" t="s">
        <v>419</v>
      </c>
      <c r="J33" t="s">
        <v>420</v>
      </c>
      <c r="K33" t="s">
        <v>421</v>
      </c>
      <c r="L33" t="s">
        <v>422</v>
      </c>
      <c r="M33" t="s">
        <v>423</v>
      </c>
      <c r="N33" t="s">
        <v>424</v>
      </c>
      <c r="O33" t="s">
        <v>77</v>
      </c>
      <c r="P33" s="2">
        <f t="shared" si="0"/>
        <v>4.583333333333333</v>
      </c>
      <c r="Q33" t="s">
        <v>425</v>
      </c>
      <c r="R33" s="2">
        <f t="shared" si="1"/>
        <v>51.234166666666667</v>
      </c>
      <c r="S33" t="s">
        <v>426</v>
      </c>
      <c r="T33">
        <v>3</v>
      </c>
      <c r="U33">
        <v>3</v>
      </c>
      <c r="V33" t="s">
        <v>80</v>
      </c>
      <c r="W33" t="s">
        <v>80</v>
      </c>
      <c r="X33" t="s">
        <v>81</v>
      </c>
      <c r="Y33" t="s">
        <v>82</v>
      </c>
      <c r="Z33" t="s">
        <v>82</v>
      </c>
      <c r="AA33" t="s">
        <v>83</v>
      </c>
      <c r="AB33" t="s">
        <v>84</v>
      </c>
      <c r="AC33" t="s">
        <v>82</v>
      </c>
      <c r="AD33" t="s">
        <v>220</v>
      </c>
      <c r="AE33" t="s">
        <v>82</v>
      </c>
      <c r="AF33" t="s">
        <v>82</v>
      </c>
      <c r="AG33" t="s">
        <v>87</v>
      </c>
      <c r="AH33" t="s">
        <v>427</v>
      </c>
      <c r="AI33" t="s">
        <v>428</v>
      </c>
      <c r="AJ33" t="s">
        <v>82</v>
      </c>
      <c r="AK33" t="s">
        <v>429</v>
      </c>
      <c r="AL33" t="s">
        <v>82</v>
      </c>
      <c r="AM33" t="s">
        <v>82</v>
      </c>
      <c r="AN33" t="s">
        <v>82</v>
      </c>
      <c r="AO33" t="s">
        <v>82</v>
      </c>
      <c r="AP33" t="s">
        <v>82</v>
      </c>
      <c r="AQ33" t="s">
        <v>82</v>
      </c>
      <c r="AR33" t="s">
        <v>82</v>
      </c>
      <c r="AS33" t="s">
        <v>88</v>
      </c>
      <c r="AT33" t="s">
        <v>427</v>
      </c>
      <c r="AU33" t="s">
        <v>106</v>
      </c>
      <c r="AV33" t="s">
        <v>90</v>
      </c>
      <c r="AW33" t="s">
        <v>91</v>
      </c>
      <c r="AX33" t="s">
        <v>82</v>
      </c>
      <c r="AY33" t="s">
        <v>82</v>
      </c>
      <c r="AZ33" t="s">
        <v>90</v>
      </c>
      <c r="BA33" t="s">
        <v>90</v>
      </c>
      <c r="BB33" t="s">
        <v>91</v>
      </c>
      <c r="BC33" t="s">
        <v>91</v>
      </c>
      <c r="BD33" t="s">
        <v>82</v>
      </c>
      <c r="BE33" t="s">
        <v>91</v>
      </c>
      <c r="BF33" t="s">
        <v>82</v>
      </c>
      <c r="BG33" t="s">
        <v>82</v>
      </c>
      <c r="BH33" t="s">
        <v>82</v>
      </c>
      <c r="BI33" t="s">
        <v>82</v>
      </c>
      <c r="BJ33" t="s">
        <v>82</v>
      </c>
      <c r="BK33" t="s">
        <v>82</v>
      </c>
      <c r="BL33" t="s">
        <v>90</v>
      </c>
      <c r="BM33" t="s">
        <v>430</v>
      </c>
      <c r="BN33" t="s">
        <v>431</v>
      </c>
    </row>
    <row r="34" spans="1:66" x14ac:dyDescent="0.35">
      <c r="A34">
        <v>182474</v>
      </c>
      <c r="B34" t="s">
        <v>432</v>
      </c>
      <c r="C34" t="s">
        <v>65</v>
      </c>
      <c r="D34" t="s">
        <v>66</v>
      </c>
      <c r="E34" t="s">
        <v>67</v>
      </c>
      <c r="F34" t="s">
        <v>109</v>
      </c>
      <c r="G34" t="s">
        <v>69</v>
      </c>
      <c r="H34" t="s">
        <v>70</v>
      </c>
      <c r="I34" t="s">
        <v>433</v>
      </c>
      <c r="J34" t="s">
        <v>434</v>
      </c>
      <c r="K34" t="s">
        <v>435</v>
      </c>
      <c r="L34" t="s">
        <v>436</v>
      </c>
      <c r="M34" t="s">
        <v>437</v>
      </c>
      <c r="N34" t="s">
        <v>438</v>
      </c>
      <c r="O34" t="s">
        <v>77</v>
      </c>
      <c r="P34" s="2">
        <f t="shared" si="0"/>
        <v>12.283333333333333</v>
      </c>
      <c r="Q34" t="s">
        <v>439</v>
      </c>
      <c r="R34" s="2">
        <f t="shared" si="1"/>
        <v>22.741666666666667</v>
      </c>
      <c r="S34" t="s">
        <v>440</v>
      </c>
      <c r="T34">
        <v>1</v>
      </c>
      <c r="U34">
        <v>1</v>
      </c>
      <c r="V34" t="s">
        <v>80</v>
      </c>
      <c r="W34" t="s">
        <v>80</v>
      </c>
      <c r="X34" t="s">
        <v>81</v>
      </c>
      <c r="Y34" t="s">
        <v>82</v>
      </c>
      <c r="Z34" t="s">
        <v>82</v>
      </c>
      <c r="AA34" t="s">
        <v>83</v>
      </c>
      <c r="AB34" t="s">
        <v>84</v>
      </c>
      <c r="AC34" t="s">
        <v>82</v>
      </c>
      <c r="AD34" t="s">
        <v>85</v>
      </c>
      <c r="AE34" t="s">
        <v>441</v>
      </c>
      <c r="AF34" t="s">
        <v>82</v>
      </c>
      <c r="AG34" t="s">
        <v>87</v>
      </c>
      <c r="AH34" t="s">
        <v>442</v>
      </c>
      <c r="AI34" t="s">
        <v>443</v>
      </c>
      <c r="AJ34" t="s">
        <v>82</v>
      </c>
      <c r="AK34" t="s">
        <v>82</v>
      </c>
      <c r="AL34" t="s">
        <v>82</v>
      </c>
      <c r="AM34" t="s">
        <v>82</v>
      </c>
      <c r="AN34" t="s">
        <v>82</v>
      </c>
      <c r="AO34" t="s">
        <v>82</v>
      </c>
      <c r="AP34" t="s">
        <v>82</v>
      </c>
      <c r="AQ34" t="s">
        <v>82</v>
      </c>
      <c r="AR34" t="s">
        <v>82</v>
      </c>
      <c r="AS34" t="s">
        <v>88</v>
      </c>
      <c r="AT34" t="s">
        <v>442</v>
      </c>
      <c r="AU34" t="s">
        <v>6</v>
      </c>
      <c r="AV34" t="s">
        <v>90</v>
      </c>
      <c r="AW34" t="s">
        <v>91</v>
      </c>
      <c r="AX34" t="s">
        <v>82</v>
      </c>
      <c r="AY34" t="s">
        <v>82</v>
      </c>
      <c r="AZ34" t="s">
        <v>90</v>
      </c>
      <c r="BA34" t="s">
        <v>90</v>
      </c>
      <c r="BB34" t="s">
        <v>91</v>
      </c>
      <c r="BC34" t="s">
        <v>91</v>
      </c>
      <c r="BD34" t="s">
        <v>82</v>
      </c>
      <c r="BE34" t="s">
        <v>90</v>
      </c>
      <c r="BF34" t="s">
        <v>82</v>
      </c>
      <c r="BG34" t="s">
        <v>82</v>
      </c>
      <c r="BH34" t="s">
        <v>82</v>
      </c>
      <c r="BI34" t="s">
        <v>82</v>
      </c>
      <c r="BJ34" t="s">
        <v>82</v>
      </c>
      <c r="BK34" t="s">
        <v>82</v>
      </c>
      <c r="BL34" t="s">
        <v>90</v>
      </c>
      <c r="BM34" t="s">
        <v>444</v>
      </c>
      <c r="BN34" t="s">
        <v>445</v>
      </c>
    </row>
    <row r="35" spans="1:66" x14ac:dyDescent="0.35">
      <c r="A35">
        <v>182505</v>
      </c>
      <c r="B35" t="s">
        <v>446</v>
      </c>
      <c r="C35" t="s">
        <v>65</v>
      </c>
      <c r="D35" t="s">
        <v>66</v>
      </c>
      <c r="E35" t="s">
        <v>67</v>
      </c>
      <c r="F35" t="s">
        <v>123</v>
      </c>
      <c r="G35" t="s">
        <v>69</v>
      </c>
      <c r="H35" t="s">
        <v>70</v>
      </c>
      <c r="I35" t="s">
        <v>447</v>
      </c>
      <c r="J35" t="s">
        <v>448</v>
      </c>
      <c r="K35" t="s">
        <v>449</v>
      </c>
      <c r="L35" t="s">
        <v>449</v>
      </c>
      <c r="M35" t="s">
        <v>450</v>
      </c>
      <c r="N35" t="s">
        <v>82</v>
      </c>
      <c r="O35" t="s">
        <v>77</v>
      </c>
      <c r="P35" s="2">
        <f t="shared" si="0"/>
        <v>0</v>
      </c>
      <c r="Q35" t="s">
        <v>78</v>
      </c>
      <c r="R35" s="2">
        <f t="shared" si="1"/>
        <v>0.245</v>
      </c>
      <c r="S35" t="s">
        <v>451</v>
      </c>
      <c r="T35">
        <v>0</v>
      </c>
      <c r="U35">
        <v>1</v>
      </c>
      <c r="V35" t="s">
        <v>80</v>
      </c>
      <c r="W35" t="s">
        <v>82</v>
      </c>
      <c r="X35" t="s">
        <v>81</v>
      </c>
      <c r="Y35" t="s">
        <v>82</v>
      </c>
      <c r="Z35" t="s">
        <v>82</v>
      </c>
      <c r="AA35" t="s">
        <v>83</v>
      </c>
      <c r="AB35" t="s">
        <v>84</v>
      </c>
      <c r="AC35" t="s">
        <v>82</v>
      </c>
      <c r="AD35" t="s">
        <v>85</v>
      </c>
      <c r="AE35" t="s">
        <v>82</v>
      </c>
      <c r="AF35" t="s">
        <v>82</v>
      </c>
      <c r="AG35" t="s">
        <v>87</v>
      </c>
      <c r="AH35" t="s">
        <v>82</v>
      </c>
      <c r="AI35" t="s">
        <v>129</v>
      </c>
      <c r="AJ35" t="s">
        <v>82</v>
      </c>
      <c r="AK35" t="s">
        <v>82</v>
      </c>
      <c r="AL35" t="s">
        <v>82</v>
      </c>
      <c r="AM35" t="s">
        <v>82</v>
      </c>
      <c r="AN35" t="s">
        <v>82</v>
      </c>
      <c r="AO35" t="s">
        <v>82</v>
      </c>
      <c r="AP35" t="s">
        <v>82</v>
      </c>
      <c r="AQ35" t="s">
        <v>82</v>
      </c>
      <c r="AR35" t="s">
        <v>82</v>
      </c>
      <c r="AS35" t="s">
        <v>130</v>
      </c>
      <c r="AT35" t="s">
        <v>129</v>
      </c>
      <c r="AU35" t="s">
        <v>82</v>
      </c>
      <c r="AV35" t="s">
        <v>90</v>
      </c>
      <c r="AW35" t="s">
        <v>90</v>
      </c>
      <c r="AX35" t="s">
        <v>82</v>
      </c>
      <c r="AY35" t="s">
        <v>82</v>
      </c>
      <c r="AZ35" t="s">
        <v>90</v>
      </c>
      <c r="BA35" t="s">
        <v>90</v>
      </c>
      <c r="BB35" t="s">
        <v>90</v>
      </c>
      <c r="BC35" t="s">
        <v>90</v>
      </c>
      <c r="BD35" t="s">
        <v>82</v>
      </c>
      <c r="BE35" t="s">
        <v>90</v>
      </c>
      <c r="BF35" t="s">
        <v>82</v>
      </c>
      <c r="BG35" t="s">
        <v>82</v>
      </c>
      <c r="BH35" t="s">
        <v>82</v>
      </c>
      <c r="BI35" t="s">
        <v>82</v>
      </c>
      <c r="BJ35" t="s">
        <v>82</v>
      </c>
      <c r="BK35" t="s">
        <v>82</v>
      </c>
      <c r="BL35" t="s">
        <v>90</v>
      </c>
      <c r="BM35" t="s">
        <v>139</v>
      </c>
      <c r="BN35" t="s">
        <v>452</v>
      </c>
    </row>
    <row r="36" spans="1:66" x14ac:dyDescent="0.35">
      <c r="A36">
        <v>182644</v>
      </c>
      <c r="B36" t="s">
        <v>453</v>
      </c>
      <c r="C36" t="s">
        <v>65</v>
      </c>
      <c r="D36" t="s">
        <v>66</v>
      </c>
      <c r="E36" t="s">
        <v>67</v>
      </c>
      <c r="F36" t="s">
        <v>123</v>
      </c>
      <c r="G36" t="s">
        <v>69</v>
      </c>
      <c r="H36" t="s">
        <v>70</v>
      </c>
      <c r="I36" t="s">
        <v>454</v>
      </c>
      <c r="J36" t="s">
        <v>455</v>
      </c>
      <c r="K36" t="s">
        <v>456</v>
      </c>
      <c r="L36" t="s">
        <v>456</v>
      </c>
      <c r="M36" t="s">
        <v>457</v>
      </c>
      <c r="N36" t="s">
        <v>82</v>
      </c>
      <c r="O36" t="s">
        <v>77</v>
      </c>
      <c r="P36" s="2">
        <f t="shared" si="0"/>
        <v>0</v>
      </c>
      <c r="Q36" t="s">
        <v>78</v>
      </c>
      <c r="R36" s="2">
        <f t="shared" si="1"/>
        <v>7.0833333333333331E-2</v>
      </c>
      <c r="S36" t="s">
        <v>458</v>
      </c>
      <c r="T36">
        <v>0</v>
      </c>
      <c r="U36">
        <v>1</v>
      </c>
      <c r="V36" t="s">
        <v>80</v>
      </c>
      <c r="W36" t="s">
        <v>82</v>
      </c>
      <c r="X36" t="s">
        <v>81</v>
      </c>
      <c r="Y36" t="s">
        <v>82</v>
      </c>
      <c r="Z36" t="s">
        <v>82</v>
      </c>
      <c r="AA36" t="s">
        <v>83</v>
      </c>
      <c r="AB36" t="s">
        <v>84</v>
      </c>
      <c r="AC36" t="s">
        <v>82</v>
      </c>
      <c r="AD36" t="s">
        <v>85</v>
      </c>
      <c r="AE36" t="s">
        <v>82</v>
      </c>
      <c r="AF36" t="s">
        <v>82</v>
      </c>
      <c r="AG36" t="s">
        <v>87</v>
      </c>
      <c r="AH36" t="s">
        <v>82</v>
      </c>
      <c r="AI36" t="s">
        <v>129</v>
      </c>
      <c r="AJ36" t="s">
        <v>82</v>
      </c>
      <c r="AK36" t="s">
        <v>82</v>
      </c>
      <c r="AL36" t="s">
        <v>82</v>
      </c>
      <c r="AM36" t="s">
        <v>82</v>
      </c>
      <c r="AN36" t="s">
        <v>82</v>
      </c>
      <c r="AO36" t="s">
        <v>82</v>
      </c>
      <c r="AP36" t="s">
        <v>82</v>
      </c>
      <c r="AQ36" t="s">
        <v>82</v>
      </c>
      <c r="AR36" t="s">
        <v>82</v>
      </c>
      <c r="AS36" t="s">
        <v>130</v>
      </c>
      <c r="AT36" t="s">
        <v>129</v>
      </c>
      <c r="AU36" t="s">
        <v>82</v>
      </c>
      <c r="AV36" t="s">
        <v>90</v>
      </c>
      <c r="AW36" t="s">
        <v>90</v>
      </c>
      <c r="AX36" t="s">
        <v>82</v>
      </c>
      <c r="AY36" t="s">
        <v>82</v>
      </c>
      <c r="AZ36" t="s">
        <v>90</v>
      </c>
      <c r="BA36" t="s">
        <v>90</v>
      </c>
      <c r="BB36" t="s">
        <v>90</v>
      </c>
      <c r="BC36" t="s">
        <v>90</v>
      </c>
      <c r="BD36" t="s">
        <v>82</v>
      </c>
      <c r="BE36" t="s">
        <v>90</v>
      </c>
      <c r="BF36" t="s">
        <v>82</v>
      </c>
      <c r="BG36" t="s">
        <v>82</v>
      </c>
      <c r="BH36" t="s">
        <v>82</v>
      </c>
      <c r="BI36" t="s">
        <v>82</v>
      </c>
      <c r="BJ36" t="s">
        <v>82</v>
      </c>
      <c r="BK36" t="s">
        <v>82</v>
      </c>
      <c r="BL36" t="s">
        <v>90</v>
      </c>
      <c r="BM36" t="s">
        <v>459</v>
      </c>
      <c r="BN36" t="s">
        <v>460</v>
      </c>
    </row>
    <row r="37" spans="1:66" x14ac:dyDescent="0.35">
      <c r="A37">
        <v>183796</v>
      </c>
      <c r="B37" t="s">
        <v>461</v>
      </c>
      <c r="C37" t="s">
        <v>65</v>
      </c>
      <c r="D37" t="s">
        <v>66</v>
      </c>
      <c r="E37" t="s">
        <v>67</v>
      </c>
      <c r="F37" t="s">
        <v>123</v>
      </c>
      <c r="G37" t="s">
        <v>69</v>
      </c>
      <c r="H37" t="s">
        <v>70</v>
      </c>
      <c r="I37" t="s">
        <v>462</v>
      </c>
      <c r="J37" t="s">
        <v>463</v>
      </c>
      <c r="K37" t="s">
        <v>464</v>
      </c>
      <c r="L37" t="s">
        <v>464</v>
      </c>
      <c r="M37" t="s">
        <v>465</v>
      </c>
      <c r="N37" t="s">
        <v>82</v>
      </c>
      <c r="O37" t="s">
        <v>77</v>
      </c>
      <c r="P37" s="2">
        <f t="shared" si="0"/>
        <v>0</v>
      </c>
      <c r="Q37" t="s">
        <v>78</v>
      </c>
      <c r="R37" s="2">
        <f t="shared" si="1"/>
        <v>0.62777777777777777</v>
      </c>
      <c r="S37" t="s">
        <v>466</v>
      </c>
      <c r="T37">
        <v>0</v>
      </c>
      <c r="U37">
        <v>1</v>
      </c>
      <c r="V37" t="s">
        <v>80</v>
      </c>
      <c r="W37" t="s">
        <v>82</v>
      </c>
      <c r="X37" t="s">
        <v>81</v>
      </c>
      <c r="Y37" t="s">
        <v>82</v>
      </c>
      <c r="Z37" t="s">
        <v>82</v>
      </c>
      <c r="AA37" t="s">
        <v>83</v>
      </c>
      <c r="AB37" t="s">
        <v>84</v>
      </c>
      <c r="AC37" t="s">
        <v>82</v>
      </c>
      <c r="AD37" t="s">
        <v>85</v>
      </c>
      <c r="AE37" t="s">
        <v>82</v>
      </c>
      <c r="AF37" t="s">
        <v>82</v>
      </c>
      <c r="AG37" t="s">
        <v>87</v>
      </c>
      <c r="AH37" t="s">
        <v>82</v>
      </c>
      <c r="AI37" t="s">
        <v>129</v>
      </c>
      <c r="AJ37" t="s">
        <v>82</v>
      </c>
      <c r="AK37" t="s">
        <v>82</v>
      </c>
      <c r="AL37" t="s">
        <v>82</v>
      </c>
      <c r="AM37" t="s">
        <v>82</v>
      </c>
      <c r="AN37" t="s">
        <v>82</v>
      </c>
      <c r="AO37" t="s">
        <v>82</v>
      </c>
      <c r="AP37" t="s">
        <v>82</v>
      </c>
      <c r="AQ37" t="s">
        <v>82</v>
      </c>
      <c r="AR37" t="s">
        <v>82</v>
      </c>
      <c r="AS37" t="s">
        <v>130</v>
      </c>
      <c r="AT37" t="s">
        <v>129</v>
      </c>
      <c r="AU37" t="s">
        <v>82</v>
      </c>
      <c r="AV37" t="s">
        <v>90</v>
      </c>
      <c r="AW37" t="s">
        <v>90</v>
      </c>
      <c r="AX37" t="s">
        <v>82</v>
      </c>
      <c r="AY37" t="s">
        <v>82</v>
      </c>
      <c r="AZ37" t="s">
        <v>90</v>
      </c>
      <c r="BA37" t="s">
        <v>90</v>
      </c>
      <c r="BB37" t="s">
        <v>90</v>
      </c>
      <c r="BC37" t="s">
        <v>90</v>
      </c>
      <c r="BD37" t="s">
        <v>82</v>
      </c>
      <c r="BE37" t="s">
        <v>90</v>
      </c>
      <c r="BF37" t="s">
        <v>82</v>
      </c>
      <c r="BG37" t="s">
        <v>82</v>
      </c>
      <c r="BH37" t="s">
        <v>82</v>
      </c>
      <c r="BI37" t="s">
        <v>82</v>
      </c>
      <c r="BJ37" t="s">
        <v>82</v>
      </c>
      <c r="BK37" t="s">
        <v>82</v>
      </c>
      <c r="BL37" t="s">
        <v>90</v>
      </c>
      <c r="BM37" t="s">
        <v>139</v>
      </c>
      <c r="BN37" t="s">
        <v>467</v>
      </c>
    </row>
    <row r="38" spans="1:66" x14ac:dyDescent="0.35">
      <c r="A38">
        <v>183840</v>
      </c>
      <c r="B38" t="s">
        <v>468</v>
      </c>
      <c r="C38" t="s">
        <v>65</v>
      </c>
      <c r="D38" t="s">
        <v>66</v>
      </c>
      <c r="E38" t="s">
        <v>67</v>
      </c>
      <c r="F38" t="s">
        <v>158</v>
      </c>
      <c r="G38" t="s">
        <v>69</v>
      </c>
      <c r="H38" t="s">
        <v>70</v>
      </c>
      <c r="I38" t="s">
        <v>469</v>
      </c>
      <c r="J38" t="s">
        <v>470</v>
      </c>
      <c r="K38" t="s">
        <v>471</v>
      </c>
      <c r="L38" t="s">
        <v>471</v>
      </c>
      <c r="M38" t="s">
        <v>472</v>
      </c>
      <c r="N38" t="s">
        <v>473</v>
      </c>
      <c r="O38" t="s">
        <v>77</v>
      </c>
      <c r="P38" s="2">
        <f t="shared" si="0"/>
        <v>26.133333333333329</v>
      </c>
      <c r="Q38" t="s">
        <v>474</v>
      </c>
      <c r="R38" s="2">
        <f t="shared" si="1"/>
        <v>2.8258333333333332</v>
      </c>
      <c r="S38" t="s">
        <v>475</v>
      </c>
      <c r="T38">
        <v>2</v>
      </c>
      <c r="U38">
        <v>1</v>
      </c>
      <c r="V38" t="s">
        <v>80</v>
      </c>
      <c r="W38" t="s">
        <v>80</v>
      </c>
      <c r="X38" t="s">
        <v>81</v>
      </c>
      <c r="Y38" t="s">
        <v>82</v>
      </c>
      <c r="Z38" t="s">
        <v>82</v>
      </c>
      <c r="AA38" t="s">
        <v>83</v>
      </c>
      <c r="AB38" t="s">
        <v>84</v>
      </c>
      <c r="AC38" t="s">
        <v>82</v>
      </c>
      <c r="AD38" t="s">
        <v>85</v>
      </c>
      <c r="AE38" t="s">
        <v>476</v>
      </c>
      <c r="AF38" t="s">
        <v>82</v>
      </c>
      <c r="AG38" t="s">
        <v>87</v>
      </c>
      <c r="AH38" t="s">
        <v>476</v>
      </c>
      <c r="AI38" t="s">
        <v>477</v>
      </c>
      <c r="AJ38" t="s">
        <v>82</v>
      </c>
      <c r="AK38" t="s">
        <v>82</v>
      </c>
      <c r="AL38" t="s">
        <v>82</v>
      </c>
      <c r="AM38" t="s">
        <v>82</v>
      </c>
      <c r="AN38" t="s">
        <v>291</v>
      </c>
      <c r="AO38" t="s">
        <v>82</v>
      </c>
      <c r="AP38" t="s">
        <v>82</v>
      </c>
      <c r="AQ38" t="s">
        <v>82</v>
      </c>
      <c r="AR38" t="s">
        <v>82</v>
      </c>
      <c r="AS38" t="s">
        <v>88</v>
      </c>
      <c r="AT38" t="s">
        <v>476</v>
      </c>
      <c r="AU38" t="s">
        <v>6</v>
      </c>
      <c r="AV38" t="s">
        <v>90</v>
      </c>
      <c r="AW38" t="s">
        <v>90</v>
      </c>
      <c r="AX38" t="s">
        <v>82</v>
      </c>
      <c r="AY38" t="s">
        <v>82</v>
      </c>
      <c r="AZ38" t="s">
        <v>90</v>
      </c>
      <c r="BA38" t="s">
        <v>90</v>
      </c>
      <c r="BB38" t="s">
        <v>90</v>
      </c>
      <c r="BC38" t="s">
        <v>90</v>
      </c>
      <c r="BD38" t="s">
        <v>82</v>
      </c>
      <c r="BE38" t="s">
        <v>90</v>
      </c>
      <c r="BF38" t="s">
        <v>82</v>
      </c>
      <c r="BG38" t="s">
        <v>82</v>
      </c>
      <c r="BH38" t="s">
        <v>82</v>
      </c>
      <c r="BI38" t="s">
        <v>82</v>
      </c>
      <c r="BJ38" t="s">
        <v>82</v>
      </c>
      <c r="BK38" t="s">
        <v>82</v>
      </c>
      <c r="BL38" t="s">
        <v>90</v>
      </c>
      <c r="BM38" t="s">
        <v>478</v>
      </c>
      <c r="BN38" t="s">
        <v>479</v>
      </c>
    </row>
    <row r="39" spans="1:66" x14ac:dyDescent="0.35">
      <c r="A39">
        <v>184135</v>
      </c>
      <c r="B39" t="s">
        <v>480</v>
      </c>
      <c r="C39" t="s">
        <v>65</v>
      </c>
      <c r="D39" t="s">
        <v>66</v>
      </c>
      <c r="E39" t="s">
        <v>67</v>
      </c>
      <c r="F39" t="s">
        <v>68</v>
      </c>
      <c r="G39" t="s">
        <v>69</v>
      </c>
      <c r="H39" t="s">
        <v>70</v>
      </c>
      <c r="I39" t="s">
        <v>481</v>
      </c>
      <c r="J39" t="s">
        <v>482</v>
      </c>
      <c r="K39" t="s">
        <v>483</v>
      </c>
      <c r="L39" t="s">
        <v>483</v>
      </c>
      <c r="M39" t="s">
        <v>484</v>
      </c>
      <c r="N39" t="s">
        <v>485</v>
      </c>
      <c r="O39" t="s">
        <v>77</v>
      </c>
      <c r="P39" s="2">
        <f t="shared" si="0"/>
        <v>45.533333333333331</v>
      </c>
      <c r="Q39" t="s">
        <v>486</v>
      </c>
      <c r="R39" s="2">
        <f t="shared" si="1"/>
        <v>4.1222222222222218</v>
      </c>
      <c r="S39" t="s">
        <v>487</v>
      </c>
      <c r="T39">
        <v>1</v>
      </c>
      <c r="U39">
        <v>1</v>
      </c>
      <c r="V39" t="s">
        <v>80</v>
      </c>
      <c r="W39" t="s">
        <v>80</v>
      </c>
      <c r="X39" t="s">
        <v>81</v>
      </c>
      <c r="Y39" t="s">
        <v>82</v>
      </c>
      <c r="Z39" t="s">
        <v>82</v>
      </c>
      <c r="AA39" t="s">
        <v>83</v>
      </c>
      <c r="AB39" t="s">
        <v>84</v>
      </c>
      <c r="AC39" t="s">
        <v>82</v>
      </c>
      <c r="AD39" t="s">
        <v>85</v>
      </c>
      <c r="AE39" t="s">
        <v>488</v>
      </c>
      <c r="AF39" t="s">
        <v>82</v>
      </c>
      <c r="AG39" t="s">
        <v>87</v>
      </c>
      <c r="AH39" t="s">
        <v>489</v>
      </c>
      <c r="AI39" t="s">
        <v>490</v>
      </c>
      <c r="AJ39" t="s">
        <v>82</v>
      </c>
      <c r="AK39" t="s">
        <v>82</v>
      </c>
      <c r="AL39" t="s">
        <v>82</v>
      </c>
      <c r="AM39" t="s">
        <v>82</v>
      </c>
      <c r="AN39" t="s">
        <v>82</v>
      </c>
      <c r="AO39" t="s">
        <v>82</v>
      </c>
      <c r="AP39" t="s">
        <v>82</v>
      </c>
      <c r="AQ39" t="s">
        <v>82</v>
      </c>
      <c r="AR39" t="s">
        <v>82</v>
      </c>
      <c r="AS39" t="s">
        <v>88</v>
      </c>
      <c r="AT39" t="s">
        <v>489</v>
      </c>
      <c r="AU39" t="s">
        <v>6</v>
      </c>
      <c r="AV39" t="s">
        <v>90</v>
      </c>
      <c r="AW39" t="s">
        <v>90</v>
      </c>
      <c r="AX39" t="s">
        <v>82</v>
      </c>
      <c r="AY39" t="s">
        <v>82</v>
      </c>
      <c r="AZ39" t="s">
        <v>90</v>
      </c>
      <c r="BA39" t="s">
        <v>90</v>
      </c>
      <c r="BB39" t="s">
        <v>90</v>
      </c>
      <c r="BC39" t="s">
        <v>90</v>
      </c>
      <c r="BD39" t="s">
        <v>82</v>
      </c>
      <c r="BE39" t="s">
        <v>90</v>
      </c>
      <c r="BF39" t="s">
        <v>82</v>
      </c>
      <c r="BG39" t="s">
        <v>82</v>
      </c>
      <c r="BH39" t="s">
        <v>82</v>
      </c>
      <c r="BI39" t="s">
        <v>82</v>
      </c>
      <c r="BJ39" t="s">
        <v>82</v>
      </c>
      <c r="BK39" t="s">
        <v>82</v>
      </c>
      <c r="BL39" t="s">
        <v>90</v>
      </c>
      <c r="BM39" t="s">
        <v>491</v>
      </c>
      <c r="BN39" t="s">
        <v>492</v>
      </c>
    </row>
    <row r="40" spans="1:66" x14ac:dyDescent="0.35">
      <c r="A40">
        <v>184248</v>
      </c>
      <c r="B40" t="s">
        <v>493</v>
      </c>
      <c r="C40" t="s">
        <v>65</v>
      </c>
      <c r="D40" t="s">
        <v>66</v>
      </c>
      <c r="E40" t="s">
        <v>67</v>
      </c>
      <c r="F40" t="s">
        <v>158</v>
      </c>
      <c r="G40" t="s">
        <v>69</v>
      </c>
      <c r="H40" t="s">
        <v>70</v>
      </c>
      <c r="I40" t="s">
        <v>494</v>
      </c>
      <c r="J40" t="s">
        <v>495</v>
      </c>
      <c r="K40" t="s">
        <v>496</v>
      </c>
      <c r="L40" t="s">
        <v>497</v>
      </c>
      <c r="M40" t="s">
        <v>498</v>
      </c>
      <c r="N40" t="s">
        <v>499</v>
      </c>
      <c r="O40" t="s">
        <v>77</v>
      </c>
      <c r="P40" s="2">
        <f t="shared" si="0"/>
        <v>4.2</v>
      </c>
      <c r="Q40" t="s">
        <v>500</v>
      </c>
      <c r="R40" s="2">
        <f t="shared" si="1"/>
        <v>15.590555555555556</v>
      </c>
      <c r="S40" t="s">
        <v>501</v>
      </c>
      <c r="T40">
        <v>7</v>
      </c>
      <c r="U40">
        <v>7</v>
      </c>
      <c r="V40" t="s">
        <v>80</v>
      </c>
      <c r="W40" t="s">
        <v>80</v>
      </c>
      <c r="X40" t="s">
        <v>81</v>
      </c>
      <c r="Y40" t="s">
        <v>82</v>
      </c>
      <c r="Z40" t="s">
        <v>82</v>
      </c>
      <c r="AA40" t="s">
        <v>83</v>
      </c>
      <c r="AB40" t="s">
        <v>84</v>
      </c>
      <c r="AC40" t="s">
        <v>82</v>
      </c>
      <c r="AD40" t="s">
        <v>85</v>
      </c>
      <c r="AE40" t="s">
        <v>502</v>
      </c>
      <c r="AF40" t="s">
        <v>82</v>
      </c>
      <c r="AG40" t="s">
        <v>87</v>
      </c>
      <c r="AH40" t="s">
        <v>503</v>
      </c>
      <c r="AI40" t="s">
        <v>504</v>
      </c>
      <c r="AJ40" t="s">
        <v>82</v>
      </c>
      <c r="AK40" t="s">
        <v>82</v>
      </c>
      <c r="AL40" t="s">
        <v>82</v>
      </c>
      <c r="AM40" t="s">
        <v>82</v>
      </c>
      <c r="AN40" t="s">
        <v>169</v>
      </c>
      <c r="AO40" t="s">
        <v>82</v>
      </c>
      <c r="AP40" t="s">
        <v>82</v>
      </c>
      <c r="AQ40" t="s">
        <v>82</v>
      </c>
      <c r="AR40" t="s">
        <v>82</v>
      </c>
      <c r="AS40" t="s">
        <v>88</v>
      </c>
      <c r="AT40" t="s">
        <v>505</v>
      </c>
      <c r="AU40" t="s">
        <v>6</v>
      </c>
      <c r="AV40" t="s">
        <v>90</v>
      </c>
      <c r="AW40" t="s">
        <v>90</v>
      </c>
      <c r="AX40" t="s">
        <v>82</v>
      </c>
      <c r="AY40" t="s">
        <v>82</v>
      </c>
      <c r="AZ40" t="s">
        <v>90</v>
      </c>
      <c r="BA40" t="s">
        <v>90</v>
      </c>
      <c r="BB40" t="s">
        <v>90</v>
      </c>
      <c r="BC40" t="s">
        <v>90</v>
      </c>
      <c r="BD40" t="s">
        <v>82</v>
      </c>
      <c r="BE40" t="s">
        <v>90</v>
      </c>
      <c r="BF40" t="s">
        <v>82</v>
      </c>
      <c r="BG40" t="s">
        <v>82</v>
      </c>
      <c r="BH40" t="s">
        <v>82</v>
      </c>
      <c r="BI40" t="s">
        <v>82</v>
      </c>
      <c r="BJ40" t="s">
        <v>82</v>
      </c>
      <c r="BK40" t="s">
        <v>82</v>
      </c>
      <c r="BL40" t="s">
        <v>90</v>
      </c>
      <c r="BM40" t="s">
        <v>506</v>
      </c>
      <c r="BN40" t="s">
        <v>507</v>
      </c>
    </row>
    <row r="41" spans="1:66" x14ac:dyDescent="0.35">
      <c r="A41">
        <v>184348</v>
      </c>
      <c r="B41" t="s">
        <v>508</v>
      </c>
      <c r="C41" t="s">
        <v>65</v>
      </c>
      <c r="D41" t="s">
        <v>66</v>
      </c>
      <c r="E41" t="s">
        <v>67</v>
      </c>
      <c r="F41" t="s">
        <v>187</v>
      </c>
      <c r="G41" t="s">
        <v>69</v>
      </c>
      <c r="H41" t="s">
        <v>70</v>
      </c>
      <c r="I41" t="s">
        <v>509</v>
      </c>
      <c r="J41" t="s">
        <v>510</v>
      </c>
      <c r="K41" t="s">
        <v>511</v>
      </c>
      <c r="L41" t="s">
        <v>512</v>
      </c>
      <c r="M41" t="s">
        <v>513</v>
      </c>
      <c r="N41" t="s">
        <v>514</v>
      </c>
      <c r="O41" t="s">
        <v>77</v>
      </c>
      <c r="P41" s="2">
        <f t="shared" si="0"/>
        <v>12.766666666666667</v>
      </c>
      <c r="Q41" t="s">
        <v>515</v>
      </c>
      <c r="R41" s="2">
        <f t="shared" si="1"/>
        <v>6.8827777777777772</v>
      </c>
      <c r="S41" t="s">
        <v>516</v>
      </c>
      <c r="T41">
        <v>3</v>
      </c>
      <c r="U41">
        <v>1</v>
      </c>
      <c r="V41" t="s">
        <v>80</v>
      </c>
      <c r="W41" t="s">
        <v>80</v>
      </c>
      <c r="X41" t="s">
        <v>81</v>
      </c>
      <c r="Y41" t="s">
        <v>82</v>
      </c>
      <c r="Z41" t="s">
        <v>82</v>
      </c>
      <c r="AA41" t="s">
        <v>83</v>
      </c>
      <c r="AB41" t="s">
        <v>84</v>
      </c>
      <c r="AC41" t="s">
        <v>82</v>
      </c>
      <c r="AD41" t="s">
        <v>85</v>
      </c>
      <c r="AE41" t="s">
        <v>517</v>
      </c>
      <c r="AF41" t="s">
        <v>82</v>
      </c>
      <c r="AG41" t="s">
        <v>87</v>
      </c>
      <c r="AH41" t="s">
        <v>518</v>
      </c>
      <c r="AI41" t="s">
        <v>519</v>
      </c>
      <c r="AJ41" t="s">
        <v>82</v>
      </c>
      <c r="AK41" t="s">
        <v>82</v>
      </c>
      <c r="AL41" t="s">
        <v>82</v>
      </c>
      <c r="AM41" t="s">
        <v>82</v>
      </c>
      <c r="AN41" t="s">
        <v>82</v>
      </c>
      <c r="AO41" t="s">
        <v>82</v>
      </c>
      <c r="AP41" t="s">
        <v>82</v>
      </c>
      <c r="AQ41" t="s">
        <v>82</v>
      </c>
      <c r="AR41" t="s">
        <v>340</v>
      </c>
      <c r="AS41" t="s">
        <v>88</v>
      </c>
      <c r="AT41" t="s">
        <v>520</v>
      </c>
      <c r="AU41" t="s">
        <v>6</v>
      </c>
      <c r="AV41" t="s">
        <v>90</v>
      </c>
      <c r="AW41" t="s">
        <v>90</v>
      </c>
      <c r="AX41" t="s">
        <v>82</v>
      </c>
      <c r="AY41" t="s">
        <v>82</v>
      </c>
      <c r="AZ41" t="s">
        <v>90</v>
      </c>
      <c r="BA41" t="s">
        <v>90</v>
      </c>
      <c r="BB41" t="s">
        <v>90</v>
      </c>
      <c r="BC41" t="s">
        <v>90</v>
      </c>
      <c r="BD41" t="s">
        <v>82</v>
      </c>
      <c r="BE41" t="s">
        <v>90</v>
      </c>
      <c r="BF41" t="s">
        <v>82</v>
      </c>
      <c r="BG41" t="s">
        <v>82</v>
      </c>
      <c r="BH41" t="s">
        <v>82</v>
      </c>
      <c r="BI41" t="s">
        <v>82</v>
      </c>
      <c r="BJ41" t="s">
        <v>82</v>
      </c>
      <c r="BK41" t="s">
        <v>82</v>
      </c>
      <c r="BL41" t="s">
        <v>90</v>
      </c>
      <c r="BM41" t="s">
        <v>521</v>
      </c>
      <c r="BN41" t="s">
        <v>522</v>
      </c>
    </row>
    <row r="42" spans="1:66" x14ac:dyDescent="0.35">
      <c r="A42">
        <v>184437</v>
      </c>
      <c r="B42" t="s">
        <v>523</v>
      </c>
      <c r="C42" t="s">
        <v>65</v>
      </c>
      <c r="D42" t="s">
        <v>66</v>
      </c>
      <c r="E42" t="s">
        <v>67</v>
      </c>
      <c r="F42" t="s">
        <v>123</v>
      </c>
      <c r="G42" t="s">
        <v>69</v>
      </c>
      <c r="H42" t="s">
        <v>70</v>
      </c>
      <c r="I42" t="s">
        <v>524</v>
      </c>
      <c r="J42" t="s">
        <v>525</v>
      </c>
      <c r="K42" t="s">
        <v>526</v>
      </c>
      <c r="L42" t="s">
        <v>526</v>
      </c>
      <c r="M42" t="s">
        <v>527</v>
      </c>
      <c r="N42" t="s">
        <v>82</v>
      </c>
      <c r="O42" t="s">
        <v>77</v>
      </c>
      <c r="P42" s="2">
        <f t="shared" si="0"/>
        <v>0</v>
      </c>
      <c r="Q42" t="s">
        <v>78</v>
      </c>
      <c r="R42" s="2">
        <f t="shared" si="1"/>
        <v>0.1275</v>
      </c>
      <c r="S42" t="s">
        <v>528</v>
      </c>
      <c r="T42">
        <v>0</v>
      </c>
      <c r="U42">
        <v>1</v>
      </c>
      <c r="V42" t="s">
        <v>80</v>
      </c>
      <c r="W42" t="s">
        <v>82</v>
      </c>
      <c r="X42" t="s">
        <v>81</v>
      </c>
      <c r="Y42" t="s">
        <v>82</v>
      </c>
      <c r="Z42" t="s">
        <v>82</v>
      </c>
      <c r="AA42" t="s">
        <v>83</v>
      </c>
      <c r="AB42" t="s">
        <v>84</v>
      </c>
      <c r="AC42" t="s">
        <v>82</v>
      </c>
      <c r="AD42" t="s">
        <v>85</v>
      </c>
      <c r="AE42" t="s">
        <v>82</v>
      </c>
      <c r="AF42" t="s">
        <v>82</v>
      </c>
      <c r="AG42" t="s">
        <v>87</v>
      </c>
      <c r="AH42" t="s">
        <v>82</v>
      </c>
      <c r="AI42" t="s">
        <v>129</v>
      </c>
      <c r="AJ42" t="s">
        <v>82</v>
      </c>
      <c r="AK42" t="s">
        <v>82</v>
      </c>
      <c r="AL42" t="s">
        <v>82</v>
      </c>
      <c r="AM42" t="s">
        <v>82</v>
      </c>
      <c r="AN42" t="s">
        <v>82</v>
      </c>
      <c r="AO42" t="s">
        <v>82</v>
      </c>
      <c r="AP42" t="s">
        <v>82</v>
      </c>
      <c r="AQ42" t="s">
        <v>82</v>
      </c>
      <c r="AR42" t="s">
        <v>82</v>
      </c>
      <c r="AS42" t="s">
        <v>130</v>
      </c>
      <c r="AT42" t="s">
        <v>129</v>
      </c>
      <c r="AU42" t="s">
        <v>82</v>
      </c>
      <c r="AV42" t="s">
        <v>90</v>
      </c>
      <c r="AW42" t="s">
        <v>90</v>
      </c>
      <c r="AX42" t="s">
        <v>82</v>
      </c>
      <c r="AY42" t="s">
        <v>82</v>
      </c>
      <c r="AZ42" t="s">
        <v>90</v>
      </c>
      <c r="BA42" t="s">
        <v>90</v>
      </c>
      <c r="BB42" t="s">
        <v>90</v>
      </c>
      <c r="BC42" t="s">
        <v>90</v>
      </c>
      <c r="BD42" t="s">
        <v>82</v>
      </c>
      <c r="BE42" t="s">
        <v>90</v>
      </c>
      <c r="BF42" t="s">
        <v>82</v>
      </c>
      <c r="BG42" t="s">
        <v>82</v>
      </c>
      <c r="BH42" t="s">
        <v>82</v>
      </c>
      <c r="BI42" t="s">
        <v>82</v>
      </c>
      <c r="BJ42" t="s">
        <v>82</v>
      </c>
      <c r="BK42" t="s">
        <v>82</v>
      </c>
      <c r="BL42" t="s">
        <v>90</v>
      </c>
      <c r="BM42" t="s">
        <v>139</v>
      </c>
      <c r="BN42" t="s">
        <v>529</v>
      </c>
    </row>
    <row r="43" spans="1:66" x14ac:dyDescent="0.35">
      <c r="A43">
        <v>184595</v>
      </c>
      <c r="B43" t="s">
        <v>530</v>
      </c>
      <c r="C43" t="s">
        <v>65</v>
      </c>
      <c r="D43" t="s">
        <v>66</v>
      </c>
      <c r="E43" t="s">
        <v>67</v>
      </c>
      <c r="F43" t="s">
        <v>109</v>
      </c>
      <c r="G43" t="s">
        <v>69</v>
      </c>
      <c r="H43" t="s">
        <v>70</v>
      </c>
      <c r="I43" t="s">
        <v>531</v>
      </c>
      <c r="J43" t="s">
        <v>532</v>
      </c>
      <c r="K43" t="s">
        <v>533</v>
      </c>
      <c r="L43" t="s">
        <v>533</v>
      </c>
      <c r="M43" t="s">
        <v>534</v>
      </c>
      <c r="N43" t="s">
        <v>535</v>
      </c>
      <c r="O43" t="s">
        <v>77</v>
      </c>
      <c r="P43" s="2">
        <f t="shared" si="0"/>
        <v>34.866666666666667</v>
      </c>
      <c r="Q43" t="s">
        <v>536</v>
      </c>
      <c r="R43" s="2">
        <f t="shared" si="1"/>
        <v>16.116666666666667</v>
      </c>
      <c r="S43" t="s">
        <v>537</v>
      </c>
      <c r="T43">
        <v>1</v>
      </c>
      <c r="U43">
        <v>6</v>
      </c>
      <c r="V43" t="s">
        <v>80</v>
      </c>
      <c r="W43" t="s">
        <v>80</v>
      </c>
      <c r="X43" t="s">
        <v>81</v>
      </c>
      <c r="Y43" t="s">
        <v>82</v>
      </c>
      <c r="Z43" t="s">
        <v>82</v>
      </c>
      <c r="AA43" t="s">
        <v>83</v>
      </c>
      <c r="AB43" t="s">
        <v>84</v>
      </c>
      <c r="AC43" t="s">
        <v>82</v>
      </c>
      <c r="AD43" t="s">
        <v>85</v>
      </c>
      <c r="AE43" t="s">
        <v>538</v>
      </c>
      <c r="AF43" t="s">
        <v>82</v>
      </c>
      <c r="AG43" t="s">
        <v>87</v>
      </c>
      <c r="AH43" t="s">
        <v>538</v>
      </c>
      <c r="AI43" t="s">
        <v>539</v>
      </c>
      <c r="AJ43" t="s">
        <v>82</v>
      </c>
      <c r="AK43" t="s">
        <v>82</v>
      </c>
      <c r="AL43" t="s">
        <v>82</v>
      </c>
      <c r="AM43" t="s">
        <v>82</v>
      </c>
      <c r="AN43" t="s">
        <v>82</v>
      </c>
      <c r="AO43" t="s">
        <v>82</v>
      </c>
      <c r="AP43" t="s">
        <v>82</v>
      </c>
      <c r="AQ43" t="s">
        <v>82</v>
      </c>
      <c r="AR43" t="s">
        <v>82</v>
      </c>
      <c r="AS43" t="s">
        <v>88</v>
      </c>
      <c r="AT43" t="s">
        <v>540</v>
      </c>
      <c r="AU43" t="s">
        <v>106</v>
      </c>
      <c r="AV43" t="s">
        <v>90</v>
      </c>
      <c r="AW43" t="s">
        <v>90</v>
      </c>
      <c r="AX43" t="s">
        <v>82</v>
      </c>
      <c r="AY43" t="s">
        <v>82</v>
      </c>
      <c r="AZ43" t="s">
        <v>90</v>
      </c>
      <c r="BA43" t="s">
        <v>90</v>
      </c>
      <c r="BB43" t="s">
        <v>90</v>
      </c>
      <c r="BC43" t="s">
        <v>90</v>
      </c>
      <c r="BD43" t="s">
        <v>82</v>
      </c>
      <c r="BE43" t="s">
        <v>90</v>
      </c>
      <c r="BF43" t="s">
        <v>82</v>
      </c>
      <c r="BG43" t="s">
        <v>82</v>
      </c>
      <c r="BH43" t="s">
        <v>82</v>
      </c>
      <c r="BI43" t="s">
        <v>82</v>
      </c>
      <c r="BJ43" t="s">
        <v>82</v>
      </c>
      <c r="BK43" t="s">
        <v>82</v>
      </c>
      <c r="BL43" t="s">
        <v>90</v>
      </c>
      <c r="BM43" t="s">
        <v>538</v>
      </c>
      <c r="BN43" t="s">
        <v>541</v>
      </c>
    </row>
    <row r="44" spans="1:66" x14ac:dyDescent="0.35">
      <c r="A44">
        <v>184596</v>
      </c>
      <c r="B44" t="s">
        <v>530</v>
      </c>
      <c r="C44" t="s">
        <v>65</v>
      </c>
      <c r="D44" t="s">
        <v>66</v>
      </c>
      <c r="E44" t="s">
        <v>67</v>
      </c>
      <c r="F44" t="s">
        <v>542</v>
      </c>
      <c r="G44" t="s">
        <v>69</v>
      </c>
      <c r="H44" t="s">
        <v>70</v>
      </c>
      <c r="I44" t="s">
        <v>543</v>
      </c>
      <c r="J44" t="s">
        <v>544</v>
      </c>
      <c r="K44" t="s">
        <v>545</v>
      </c>
      <c r="L44" t="s">
        <v>545</v>
      </c>
      <c r="M44" t="s">
        <v>546</v>
      </c>
      <c r="N44" t="s">
        <v>82</v>
      </c>
      <c r="O44" t="s">
        <v>77</v>
      </c>
      <c r="P44" s="2">
        <f t="shared" si="0"/>
        <v>0</v>
      </c>
      <c r="Q44" t="s">
        <v>78</v>
      </c>
      <c r="R44" s="2">
        <f t="shared" si="1"/>
        <v>0.52749999999999997</v>
      </c>
      <c r="S44" t="s">
        <v>547</v>
      </c>
      <c r="T44">
        <v>0</v>
      </c>
      <c r="U44">
        <v>1</v>
      </c>
      <c r="V44" t="s">
        <v>80</v>
      </c>
      <c r="W44" t="s">
        <v>82</v>
      </c>
      <c r="X44" t="s">
        <v>548</v>
      </c>
      <c r="Y44" t="s">
        <v>82</v>
      </c>
      <c r="Z44" t="s">
        <v>82</v>
      </c>
      <c r="AA44" t="s">
        <v>83</v>
      </c>
      <c r="AB44" t="s">
        <v>84</v>
      </c>
      <c r="AC44" t="s">
        <v>82</v>
      </c>
      <c r="AD44" t="s">
        <v>85</v>
      </c>
      <c r="AE44" t="s">
        <v>82</v>
      </c>
      <c r="AF44" t="s">
        <v>82</v>
      </c>
      <c r="AG44" t="s">
        <v>82</v>
      </c>
      <c r="AH44" t="s">
        <v>82</v>
      </c>
      <c r="AI44" t="s">
        <v>82</v>
      </c>
      <c r="AJ44" t="s">
        <v>82</v>
      </c>
      <c r="AK44" t="s">
        <v>82</v>
      </c>
      <c r="AL44" t="s">
        <v>82</v>
      </c>
      <c r="AM44" t="s">
        <v>82</v>
      </c>
      <c r="AN44" t="s">
        <v>82</v>
      </c>
      <c r="AO44" t="s">
        <v>82</v>
      </c>
      <c r="AP44" t="s">
        <v>82</v>
      </c>
      <c r="AQ44" t="s">
        <v>82</v>
      </c>
      <c r="AR44" t="s">
        <v>82</v>
      </c>
      <c r="AS44" t="s">
        <v>82</v>
      </c>
      <c r="AT44" t="s">
        <v>82</v>
      </c>
      <c r="AU44" t="s">
        <v>82</v>
      </c>
      <c r="AV44" t="s">
        <v>90</v>
      </c>
      <c r="AW44" t="s">
        <v>90</v>
      </c>
      <c r="AX44" t="s">
        <v>82</v>
      </c>
      <c r="AY44" t="s">
        <v>82</v>
      </c>
      <c r="AZ44" t="s">
        <v>90</v>
      </c>
      <c r="BA44" t="s">
        <v>90</v>
      </c>
      <c r="BB44" t="s">
        <v>90</v>
      </c>
      <c r="BC44" t="s">
        <v>90</v>
      </c>
      <c r="BD44" t="s">
        <v>82</v>
      </c>
      <c r="BE44" t="s">
        <v>90</v>
      </c>
      <c r="BF44" t="s">
        <v>82</v>
      </c>
      <c r="BG44" t="s">
        <v>82</v>
      </c>
      <c r="BH44" t="s">
        <v>82</v>
      </c>
      <c r="BI44" t="s">
        <v>82</v>
      </c>
      <c r="BJ44" t="s">
        <v>82</v>
      </c>
      <c r="BK44" t="s">
        <v>82</v>
      </c>
      <c r="BL44" t="s">
        <v>90</v>
      </c>
      <c r="BM44" t="s">
        <v>538</v>
      </c>
      <c r="BN44" t="s">
        <v>541</v>
      </c>
    </row>
    <row r="45" spans="1:66" x14ac:dyDescent="0.35">
      <c r="A45">
        <v>184598</v>
      </c>
      <c r="B45" t="s">
        <v>530</v>
      </c>
      <c r="C45" t="s">
        <v>65</v>
      </c>
      <c r="D45" t="s">
        <v>66</v>
      </c>
      <c r="E45" t="s">
        <v>67</v>
      </c>
      <c r="F45" t="s">
        <v>542</v>
      </c>
      <c r="G45" t="s">
        <v>69</v>
      </c>
      <c r="H45" t="s">
        <v>70</v>
      </c>
      <c r="I45" t="s">
        <v>549</v>
      </c>
      <c r="J45" t="s">
        <v>550</v>
      </c>
      <c r="K45" t="s">
        <v>551</v>
      </c>
      <c r="L45" t="s">
        <v>551</v>
      </c>
      <c r="M45" t="s">
        <v>546</v>
      </c>
      <c r="N45" t="s">
        <v>82</v>
      </c>
      <c r="O45" t="s">
        <v>77</v>
      </c>
      <c r="P45" s="2">
        <f t="shared" si="0"/>
        <v>0</v>
      </c>
      <c r="Q45" t="s">
        <v>78</v>
      </c>
      <c r="R45" s="2">
        <f t="shared" si="1"/>
        <v>0.4836111111111111</v>
      </c>
      <c r="S45" t="s">
        <v>552</v>
      </c>
      <c r="T45">
        <v>0</v>
      </c>
      <c r="U45">
        <v>1</v>
      </c>
      <c r="V45" t="s">
        <v>80</v>
      </c>
      <c r="W45" t="s">
        <v>82</v>
      </c>
      <c r="X45" t="s">
        <v>548</v>
      </c>
      <c r="Y45" t="s">
        <v>82</v>
      </c>
      <c r="Z45" t="s">
        <v>82</v>
      </c>
      <c r="AA45" t="s">
        <v>83</v>
      </c>
      <c r="AB45" t="s">
        <v>84</v>
      </c>
      <c r="AC45" t="s">
        <v>82</v>
      </c>
      <c r="AD45" t="s">
        <v>85</v>
      </c>
      <c r="AE45" t="s">
        <v>82</v>
      </c>
      <c r="AF45" t="s">
        <v>82</v>
      </c>
      <c r="AG45" t="s">
        <v>82</v>
      </c>
      <c r="AH45" t="s">
        <v>82</v>
      </c>
      <c r="AI45" t="s">
        <v>82</v>
      </c>
      <c r="AJ45" t="s">
        <v>82</v>
      </c>
      <c r="AK45" t="s">
        <v>82</v>
      </c>
      <c r="AL45" t="s">
        <v>82</v>
      </c>
      <c r="AM45" t="s">
        <v>82</v>
      </c>
      <c r="AN45" t="s">
        <v>82</v>
      </c>
      <c r="AO45" t="s">
        <v>82</v>
      </c>
      <c r="AP45" t="s">
        <v>82</v>
      </c>
      <c r="AQ45" t="s">
        <v>82</v>
      </c>
      <c r="AR45" t="s">
        <v>82</v>
      </c>
      <c r="AS45" t="s">
        <v>82</v>
      </c>
      <c r="AT45" t="s">
        <v>82</v>
      </c>
      <c r="AU45" t="s">
        <v>82</v>
      </c>
      <c r="AV45" t="s">
        <v>90</v>
      </c>
      <c r="AW45" t="s">
        <v>90</v>
      </c>
      <c r="AX45" t="s">
        <v>82</v>
      </c>
      <c r="AY45" t="s">
        <v>82</v>
      </c>
      <c r="AZ45" t="s">
        <v>90</v>
      </c>
      <c r="BA45" t="s">
        <v>90</v>
      </c>
      <c r="BB45" t="s">
        <v>90</v>
      </c>
      <c r="BC45" t="s">
        <v>90</v>
      </c>
      <c r="BD45" t="s">
        <v>82</v>
      </c>
      <c r="BE45" t="s">
        <v>90</v>
      </c>
      <c r="BF45" t="s">
        <v>82</v>
      </c>
      <c r="BG45" t="s">
        <v>82</v>
      </c>
      <c r="BH45" t="s">
        <v>82</v>
      </c>
      <c r="BI45" t="s">
        <v>82</v>
      </c>
      <c r="BJ45" t="s">
        <v>82</v>
      </c>
      <c r="BK45" t="s">
        <v>82</v>
      </c>
      <c r="BL45" t="s">
        <v>90</v>
      </c>
      <c r="BM45" t="s">
        <v>538</v>
      </c>
      <c r="BN45" t="s">
        <v>553</v>
      </c>
    </row>
    <row r="46" spans="1:66" x14ac:dyDescent="0.35">
      <c r="A46">
        <v>184599</v>
      </c>
      <c r="B46" t="s">
        <v>530</v>
      </c>
      <c r="C46" t="s">
        <v>65</v>
      </c>
      <c r="D46" t="s">
        <v>66</v>
      </c>
      <c r="E46" t="s">
        <v>67</v>
      </c>
      <c r="F46" t="s">
        <v>542</v>
      </c>
      <c r="G46" t="s">
        <v>69</v>
      </c>
      <c r="H46" t="s">
        <v>70</v>
      </c>
      <c r="I46" t="s">
        <v>554</v>
      </c>
      <c r="J46" t="s">
        <v>555</v>
      </c>
      <c r="K46" t="s">
        <v>556</v>
      </c>
      <c r="L46" t="s">
        <v>556</v>
      </c>
      <c r="M46" t="s">
        <v>546</v>
      </c>
      <c r="N46" t="s">
        <v>82</v>
      </c>
      <c r="O46" t="s">
        <v>77</v>
      </c>
      <c r="P46" s="2">
        <f t="shared" si="0"/>
        <v>0</v>
      </c>
      <c r="Q46" t="s">
        <v>78</v>
      </c>
      <c r="R46" s="2">
        <f t="shared" si="1"/>
        <v>0.4719444444444445</v>
      </c>
      <c r="S46" t="s">
        <v>557</v>
      </c>
      <c r="T46">
        <v>0</v>
      </c>
      <c r="U46">
        <v>1</v>
      </c>
      <c r="V46" t="s">
        <v>80</v>
      </c>
      <c r="W46" t="s">
        <v>82</v>
      </c>
      <c r="X46" t="s">
        <v>548</v>
      </c>
      <c r="Y46" t="s">
        <v>82</v>
      </c>
      <c r="Z46" t="s">
        <v>82</v>
      </c>
      <c r="AA46" t="s">
        <v>83</v>
      </c>
      <c r="AB46" t="s">
        <v>84</v>
      </c>
      <c r="AC46" t="s">
        <v>82</v>
      </c>
      <c r="AD46" t="s">
        <v>85</v>
      </c>
      <c r="AE46" t="s">
        <v>82</v>
      </c>
      <c r="AF46" t="s">
        <v>82</v>
      </c>
      <c r="AG46" t="s">
        <v>82</v>
      </c>
      <c r="AH46" t="s">
        <v>82</v>
      </c>
      <c r="AI46" t="s">
        <v>82</v>
      </c>
      <c r="AJ46" t="s">
        <v>82</v>
      </c>
      <c r="AK46" t="s">
        <v>82</v>
      </c>
      <c r="AL46" t="s">
        <v>82</v>
      </c>
      <c r="AM46" t="s">
        <v>82</v>
      </c>
      <c r="AN46" t="s">
        <v>82</v>
      </c>
      <c r="AO46" t="s">
        <v>82</v>
      </c>
      <c r="AP46" t="s">
        <v>82</v>
      </c>
      <c r="AQ46" t="s">
        <v>82</v>
      </c>
      <c r="AR46" t="s">
        <v>82</v>
      </c>
      <c r="AS46" t="s">
        <v>82</v>
      </c>
      <c r="AT46" t="s">
        <v>82</v>
      </c>
      <c r="AU46" t="s">
        <v>82</v>
      </c>
      <c r="AV46" t="s">
        <v>90</v>
      </c>
      <c r="AW46" t="s">
        <v>90</v>
      </c>
      <c r="AX46" t="s">
        <v>82</v>
      </c>
      <c r="AY46" t="s">
        <v>82</v>
      </c>
      <c r="AZ46" t="s">
        <v>90</v>
      </c>
      <c r="BA46" t="s">
        <v>90</v>
      </c>
      <c r="BB46" t="s">
        <v>90</v>
      </c>
      <c r="BC46" t="s">
        <v>90</v>
      </c>
      <c r="BD46" t="s">
        <v>82</v>
      </c>
      <c r="BE46" t="s">
        <v>90</v>
      </c>
      <c r="BF46" t="s">
        <v>82</v>
      </c>
      <c r="BG46" t="s">
        <v>82</v>
      </c>
      <c r="BH46" t="s">
        <v>82</v>
      </c>
      <c r="BI46" t="s">
        <v>82</v>
      </c>
      <c r="BJ46" t="s">
        <v>82</v>
      </c>
      <c r="BK46" t="s">
        <v>82</v>
      </c>
      <c r="BL46" t="s">
        <v>90</v>
      </c>
      <c r="BM46" t="s">
        <v>538</v>
      </c>
      <c r="BN46" t="s">
        <v>553</v>
      </c>
    </row>
    <row r="47" spans="1:66" x14ac:dyDescent="0.35">
      <c r="A47">
        <v>184631</v>
      </c>
      <c r="B47" t="s">
        <v>558</v>
      </c>
      <c r="C47" t="s">
        <v>65</v>
      </c>
      <c r="D47" t="s">
        <v>66</v>
      </c>
      <c r="E47" t="s">
        <v>67</v>
      </c>
      <c r="F47" t="s">
        <v>158</v>
      </c>
      <c r="G47" t="s">
        <v>69</v>
      </c>
      <c r="H47" t="s">
        <v>70</v>
      </c>
      <c r="I47" t="s">
        <v>559</v>
      </c>
      <c r="J47" t="s">
        <v>560</v>
      </c>
      <c r="K47" t="s">
        <v>561</v>
      </c>
      <c r="L47" t="s">
        <v>561</v>
      </c>
      <c r="M47" t="s">
        <v>562</v>
      </c>
      <c r="N47" t="s">
        <v>563</v>
      </c>
      <c r="O47" t="s">
        <v>77</v>
      </c>
      <c r="P47" s="2">
        <f t="shared" si="0"/>
        <v>3.0166666666666666</v>
      </c>
      <c r="Q47" t="s">
        <v>564</v>
      </c>
      <c r="R47" s="2">
        <f t="shared" si="1"/>
        <v>100.66194444444443</v>
      </c>
      <c r="S47" t="s">
        <v>565</v>
      </c>
      <c r="T47">
        <v>8</v>
      </c>
      <c r="U47">
        <v>5</v>
      </c>
      <c r="V47" t="s">
        <v>80</v>
      </c>
      <c r="W47" t="s">
        <v>80</v>
      </c>
      <c r="X47" t="s">
        <v>81</v>
      </c>
      <c r="Y47" t="s">
        <v>82</v>
      </c>
      <c r="Z47" t="s">
        <v>82</v>
      </c>
      <c r="AA47" t="s">
        <v>83</v>
      </c>
      <c r="AB47" t="s">
        <v>84</v>
      </c>
      <c r="AC47" t="s">
        <v>82</v>
      </c>
      <c r="AD47" t="s">
        <v>85</v>
      </c>
      <c r="AE47" t="s">
        <v>566</v>
      </c>
      <c r="AF47" t="s">
        <v>82</v>
      </c>
      <c r="AG47" t="s">
        <v>87</v>
      </c>
      <c r="AH47" t="s">
        <v>567</v>
      </c>
      <c r="AI47" t="s">
        <v>568</v>
      </c>
      <c r="AJ47" t="s">
        <v>82</v>
      </c>
      <c r="AK47" t="s">
        <v>82</v>
      </c>
      <c r="AL47" t="s">
        <v>82</v>
      </c>
      <c r="AM47" t="s">
        <v>82</v>
      </c>
      <c r="AN47" t="s">
        <v>169</v>
      </c>
      <c r="AO47" t="s">
        <v>82</v>
      </c>
      <c r="AP47" t="s">
        <v>82</v>
      </c>
      <c r="AQ47" t="s">
        <v>82</v>
      </c>
      <c r="AR47" t="s">
        <v>82</v>
      </c>
      <c r="AS47" t="s">
        <v>130</v>
      </c>
      <c r="AT47" t="s">
        <v>567</v>
      </c>
      <c r="AU47" t="s">
        <v>106</v>
      </c>
      <c r="AV47" t="s">
        <v>90</v>
      </c>
      <c r="AW47" t="s">
        <v>90</v>
      </c>
      <c r="AX47" t="s">
        <v>82</v>
      </c>
      <c r="AY47" t="s">
        <v>82</v>
      </c>
      <c r="AZ47" t="s">
        <v>90</v>
      </c>
      <c r="BA47" t="s">
        <v>90</v>
      </c>
      <c r="BB47" t="s">
        <v>90</v>
      </c>
      <c r="BC47" t="s">
        <v>90</v>
      </c>
      <c r="BD47" t="s">
        <v>82</v>
      </c>
      <c r="BE47" t="s">
        <v>91</v>
      </c>
      <c r="BF47" t="s">
        <v>82</v>
      </c>
      <c r="BG47" t="s">
        <v>82</v>
      </c>
      <c r="BH47" t="s">
        <v>82</v>
      </c>
      <c r="BI47" t="s">
        <v>82</v>
      </c>
      <c r="BJ47" t="s">
        <v>82</v>
      </c>
      <c r="BK47" t="s">
        <v>82</v>
      </c>
      <c r="BL47" t="s">
        <v>90</v>
      </c>
      <c r="BM47" t="s">
        <v>569</v>
      </c>
      <c r="BN47" t="s">
        <v>570</v>
      </c>
    </row>
    <row r="48" spans="1:66" x14ac:dyDescent="0.35">
      <c r="A48">
        <v>184709</v>
      </c>
      <c r="B48" t="s">
        <v>571</v>
      </c>
      <c r="C48" t="s">
        <v>65</v>
      </c>
      <c r="D48" t="s">
        <v>66</v>
      </c>
      <c r="E48" t="s">
        <v>67</v>
      </c>
      <c r="F48" t="s">
        <v>542</v>
      </c>
      <c r="G48" t="s">
        <v>69</v>
      </c>
      <c r="H48" t="s">
        <v>70</v>
      </c>
      <c r="I48" t="s">
        <v>572</v>
      </c>
      <c r="J48" t="s">
        <v>573</v>
      </c>
      <c r="K48" t="s">
        <v>574</v>
      </c>
      <c r="L48" t="s">
        <v>574</v>
      </c>
      <c r="M48" t="s">
        <v>575</v>
      </c>
      <c r="N48" t="s">
        <v>82</v>
      </c>
      <c r="O48" t="s">
        <v>77</v>
      </c>
      <c r="P48" s="2">
        <f t="shared" si="0"/>
        <v>0</v>
      </c>
      <c r="Q48" t="s">
        <v>78</v>
      </c>
      <c r="R48" s="2">
        <f t="shared" si="1"/>
        <v>0.43083333333333329</v>
      </c>
      <c r="S48" t="s">
        <v>576</v>
      </c>
      <c r="T48">
        <v>0</v>
      </c>
      <c r="U48">
        <v>1</v>
      </c>
      <c r="V48" t="s">
        <v>80</v>
      </c>
      <c r="W48" t="s">
        <v>82</v>
      </c>
      <c r="X48" t="s">
        <v>548</v>
      </c>
      <c r="Y48" t="s">
        <v>82</v>
      </c>
      <c r="Z48" t="s">
        <v>82</v>
      </c>
      <c r="AA48" t="s">
        <v>83</v>
      </c>
      <c r="AB48" t="s">
        <v>84</v>
      </c>
      <c r="AC48" t="s">
        <v>82</v>
      </c>
      <c r="AD48" t="s">
        <v>85</v>
      </c>
      <c r="AE48" t="s">
        <v>82</v>
      </c>
      <c r="AF48" t="s">
        <v>82</v>
      </c>
      <c r="AG48" t="s">
        <v>82</v>
      </c>
      <c r="AH48" t="s">
        <v>82</v>
      </c>
      <c r="AI48" t="s">
        <v>82</v>
      </c>
      <c r="AJ48" t="s">
        <v>82</v>
      </c>
      <c r="AK48" t="s">
        <v>82</v>
      </c>
      <c r="AL48" t="s">
        <v>82</v>
      </c>
      <c r="AM48" t="s">
        <v>82</v>
      </c>
      <c r="AN48" t="s">
        <v>82</v>
      </c>
      <c r="AO48" t="s">
        <v>82</v>
      </c>
      <c r="AP48" t="s">
        <v>82</v>
      </c>
      <c r="AQ48" t="s">
        <v>82</v>
      </c>
      <c r="AR48" t="s">
        <v>82</v>
      </c>
      <c r="AS48" t="s">
        <v>82</v>
      </c>
      <c r="AT48" t="s">
        <v>82</v>
      </c>
      <c r="AU48" t="s">
        <v>82</v>
      </c>
      <c r="AV48" t="s">
        <v>90</v>
      </c>
      <c r="AW48" t="s">
        <v>90</v>
      </c>
      <c r="AX48" t="s">
        <v>82</v>
      </c>
      <c r="AY48" t="s">
        <v>82</v>
      </c>
      <c r="AZ48" t="s">
        <v>90</v>
      </c>
      <c r="BA48" t="s">
        <v>90</v>
      </c>
      <c r="BB48" t="s">
        <v>90</v>
      </c>
      <c r="BC48" t="s">
        <v>90</v>
      </c>
      <c r="BD48" t="s">
        <v>82</v>
      </c>
      <c r="BE48" t="s">
        <v>90</v>
      </c>
      <c r="BF48" t="s">
        <v>82</v>
      </c>
      <c r="BG48" t="s">
        <v>82</v>
      </c>
      <c r="BH48" t="s">
        <v>82</v>
      </c>
      <c r="BI48" t="s">
        <v>82</v>
      </c>
      <c r="BJ48" t="s">
        <v>82</v>
      </c>
      <c r="BK48" t="s">
        <v>82</v>
      </c>
      <c r="BL48" t="s">
        <v>90</v>
      </c>
      <c r="BM48" t="s">
        <v>577</v>
      </c>
      <c r="BN48" t="s">
        <v>578</v>
      </c>
    </row>
    <row r="49" spans="1:66" x14ac:dyDescent="0.35">
      <c r="A49">
        <v>184886</v>
      </c>
      <c r="B49" t="s">
        <v>523</v>
      </c>
      <c r="C49" t="s">
        <v>65</v>
      </c>
      <c r="D49" t="s">
        <v>66</v>
      </c>
      <c r="E49" t="s">
        <v>67</v>
      </c>
      <c r="F49" t="s">
        <v>123</v>
      </c>
      <c r="G49" t="s">
        <v>69</v>
      </c>
      <c r="H49" t="s">
        <v>70</v>
      </c>
      <c r="I49" t="s">
        <v>579</v>
      </c>
      <c r="J49" t="s">
        <v>580</v>
      </c>
      <c r="K49" t="s">
        <v>581</v>
      </c>
      <c r="L49" t="s">
        <v>581</v>
      </c>
      <c r="M49" t="s">
        <v>582</v>
      </c>
      <c r="N49" t="s">
        <v>82</v>
      </c>
      <c r="O49" t="s">
        <v>77</v>
      </c>
      <c r="P49" s="2">
        <f t="shared" si="0"/>
        <v>0</v>
      </c>
      <c r="Q49" t="s">
        <v>78</v>
      </c>
      <c r="R49" s="2">
        <f t="shared" si="1"/>
        <v>0.18222222222222223</v>
      </c>
      <c r="S49" t="s">
        <v>583</v>
      </c>
      <c r="T49">
        <v>0</v>
      </c>
      <c r="U49">
        <v>1</v>
      </c>
      <c r="V49" t="s">
        <v>80</v>
      </c>
      <c r="W49" t="s">
        <v>82</v>
      </c>
      <c r="X49" t="s">
        <v>81</v>
      </c>
      <c r="Y49" t="s">
        <v>82</v>
      </c>
      <c r="Z49" t="s">
        <v>82</v>
      </c>
      <c r="AA49" t="s">
        <v>83</v>
      </c>
      <c r="AB49" t="s">
        <v>84</v>
      </c>
      <c r="AC49" t="s">
        <v>82</v>
      </c>
      <c r="AD49" t="s">
        <v>85</v>
      </c>
      <c r="AE49" t="s">
        <v>82</v>
      </c>
      <c r="AF49" t="s">
        <v>82</v>
      </c>
      <c r="AG49" t="s">
        <v>87</v>
      </c>
      <c r="AH49" t="s">
        <v>82</v>
      </c>
      <c r="AI49" t="s">
        <v>129</v>
      </c>
      <c r="AJ49" t="s">
        <v>82</v>
      </c>
      <c r="AK49" t="s">
        <v>82</v>
      </c>
      <c r="AL49" t="s">
        <v>82</v>
      </c>
      <c r="AM49" t="s">
        <v>82</v>
      </c>
      <c r="AN49" t="s">
        <v>82</v>
      </c>
      <c r="AO49" t="s">
        <v>82</v>
      </c>
      <c r="AP49" t="s">
        <v>82</v>
      </c>
      <c r="AQ49" t="s">
        <v>82</v>
      </c>
      <c r="AR49" t="s">
        <v>82</v>
      </c>
      <c r="AS49" t="s">
        <v>130</v>
      </c>
      <c r="AT49" t="s">
        <v>129</v>
      </c>
      <c r="AU49" t="s">
        <v>82</v>
      </c>
      <c r="AV49" t="s">
        <v>90</v>
      </c>
      <c r="AW49" t="s">
        <v>90</v>
      </c>
      <c r="AX49" t="s">
        <v>82</v>
      </c>
      <c r="AY49" t="s">
        <v>82</v>
      </c>
      <c r="AZ49" t="s">
        <v>90</v>
      </c>
      <c r="BA49" t="s">
        <v>90</v>
      </c>
      <c r="BB49" t="s">
        <v>90</v>
      </c>
      <c r="BC49" t="s">
        <v>90</v>
      </c>
      <c r="BD49" t="s">
        <v>82</v>
      </c>
      <c r="BE49" t="s">
        <v>90</v>
      </c>
      <c r="BF49" t="s">
        <v>82</v>
      </c>
      <c r="BG49" t="s">
        <v>82</v>
      </c>
      <c r="BH49" t="s">
        <v>82</v>
      </c>
      <c r="BI49" t="s">
        <v>82</v>
      </c>
      <c r="BJ49" t="s">
        <v>82</v>
      </c>
      <c r="BK49" t="s">
        <v>82</v>
      </c>
      <c r="BL49" t="s">
        <v>90</v>
      </c>
      <c r="BM49" t="s">
        <v>139</v>
      </c>
      <c r="BN49" t="s">
        <v>584</v>
      </c>
    </row>
    <row r="50" spans="1:66" x14ac:dyDescent="0.35">
      <c r="A50">
        <v>185158</v>
      </c>
      <c r="B50" t="s">
        <v>585</v>
      </c>
      <c r="C50" t="s">
        <v>65</v>
      </c>
      <c r="D50" t="s">
        <v>66</v>
      </c>
      <c r="E50" t="s">
        <v>586</v>
      </c>
      <c r="F50" t="s">
        <v>587</v>
      </c>
      <c r="G50" t="s">
        <v>69</v>
      </c>
      <c r="H50" t="s">
        <v>70</v>
      </c>
      <c r="I50" t="s">
        <v>588</v>
      </c>
      <c r="J50" t="s">
        <v>589</v>
      </c>
      <c r="K50" t="s">
        <v>590</v>
      </c>
      <c r="L50" t="s">
        <v>590</v>
      </c>
      <c r="M50" t="s">
        <v>591</v>
      </c>
      <c r="N50" t="s">
        <v>592</v>
      </c>
      <c r="O50" t="s">
        <v>77</v>
      </c>
      <c r="P50" s="2">
        <f t="shared" si="0"/>
        <v>5.9833333333333343</v>
      </c>
      <c r="Q50" t="s">
        <v>593</v>
      </c>
      <c r="R50" s="2">
        <f t="shared" si="1"/>
        <v>46.035277777777779</v>
      </c>
      <c r="S50" t="s">
        <v>594</v>
      </c>
      <c r="T50">
        <v>2</v>
      </c>
      <c r="U50">
        <v>1</v>
      </c>
      <c r="V50" t="s">
        <v>80</v>
      </c>
      <c r="W50" t="s">
        <v>80</v>
      </c>
      <c r="X50" t="s">
        <v>81</v>
      </c>
      <c r="Y50" t="s">
        <v>82</v>
      </c>
      <c r="Z50" t="s">
        <v>82</v>
      </c>
      <c r="AA50" t="s">
        <v>83</v>
      </c>
      <c r="AB50" t="s">
        <v>84</v>
      </c>
      <c r="AC50" t="s">
        <v>82</v>
      </c>
      <c r="AD50" t="s">
        <v>85</v>
      </c>
      <c r="AE50" t="s">
        <v>595</v>
      </c>
      <c r="AF50" t="s">
        <v>82</v>
      </c>
      <c r="AG50" t="s">
        <v>87</v>
      </c>
      <c r="AH50" t="s">
        <v>596</v>
      </c>
      <c r="AI50" t="s">
        <v>597</v>
      </c>
      <c r="AJ50" t="s">
        <v>82</v>
      </c>
      <c r="AK50" t="s">
        <v>82</v>
      </c>
      <c r="AL50" t="s">
        <v>82</v>
      </c>
      <c r="AM50" t="s">
        <v>82</v>
      </c>
      <c r="AN50" t="s">
        <v>82</v>
      </c>
      <c r="AO50" t="s">
        <v>82</v>
      </c>
      <c r="AP50" t="s">
        <v>82</v>
      </c>
      <c r="AQ50" t="s">
        <v>82</v>
      </c>
      <c r="AR50" t="s">
        <v>82</v>
      </c>
      <c r="AS50" t="s">
        <v>88</v>
      </c>
      <c r="AT50" t="s">
        <v>596</v>
      </c>
      <c r="AU50" t="s">
        <v>6</v>
      </c>
      <c r="AV50" t="s">
        <v>90</v>
      </c>
      <c r="AW50" t="s">
        <v>90</v>
      </c>
      <c r="AX50" t="s">
        <v>82</v>
      </c>
      <c r="AY50" t="s">
        <v>82</v>
      </c>
      <c r="AZ50" t="s">
        <v>90</v>
      </c>
      <c r="BA50" t="s">
        <v>90</v>
      </c>
      <c r="BB50" t="s">
        <v>90</v>
      </c>
      <c r="BC50" t="s">
        <v>90</v>
      </c>
      <c r="BD50" t="s">
        <v>82</v>
      </c>
      <c r="BE50" t="s">
        <v>90</v>
      </c>
      <c r="BF50" t="s">
        <v>82</v>
      </c>
      <c r="BG50" t="s">
        <v>82</v>
      </c>
      <c r="BH50" t="s">
        <v>82</v>
      </c>
      <c r="BI50" t="s">
        <v>82</v>
      </c>
      <c r="BJ50" t="s">
        <v>82</v>
      </c>
      <c r="BK50" t="s">
        <v>82</v>
      </c>
      <c r="BL50" t="s">
        <v>90</v>
      </c>
      <c r="BM50" t="s">
        <v>598</v>
      </c>
      <c r="BN50" t="s">
        <v>599</v>
      </c>
    </row>
    <row r="51" spans="1:66" x14ac:dyDescent="0.35">
      <c r="A51">
        <v>185461</v>
      </c>
      <c r="B51" t="s">
        <v>600</v>
      </c>
      <c r="C51" t="s">
        <v>65</v>
      </c>
      <c r="D51" t="s">
        <v>66</v>
      </c>
      <c r="E51" t="s">
        <v>67</v>
      </c>
      <c r="F51" t="s">
        <v>542</v>
      </c>
      <c r="G51" t="s">
        <v>69</v>
      </c>
      <c r="H51" t="s">
        <v>70</v>
      </c>
      <c r="I51" t="s">
        <v>601</v>
      </c>
      <c r="J51" t="s">
        <v>602</v>
      </c>
      <c r="K51" t="s">
        <v>603</v>
      </c>
      <c r="L51" t="s">
        <v>603</v>
      </c>
      <c r="M51" t="s">
        <v>604</v>
      </c>
      <c r="N51" t="s">
        <v>82</v>
      </c>
      <c r="O51" t="s">
        <v>77</v>
      </c>
      <c r="P51" s="2">
        <f t="shared" si="0"/>
        <v>0</v>
      </c>
      <c r="Q51" t="s">
        <v>78</v>
      </c>
      <c r="R51" s="2">
        <f t="shared" si="1"/>
        <v>0.35805555555555557</v>
      </c>
      <c r="S51" t="s">
        <v>605</v>
      </c>
      <c r="T51">
        <v>0</v>
      </c>
      <c r="U51">
        <v>1</v>
      </c>
      <c r="V51" t="s">
        <v>80</v>
      </c>
      <c r="W51" t="s">
        <v>82</v>
      </c>
      <c r="X51" t="s">
        <v>548</v>
      </c>
      <c r="Y51" t="s">
        <v>82</v>
      </c>
      <c r="Z51" t="s">
        <v>82</v>
      </c>
      <c r="AA51" t="s">
        <v>83</v>
      </c>
      <c r="AB51" t="s">
        <v>84</v>
      </c>
      <c r="AC51" t="s">
        <v>82</v>
      </c>
      <c r="AD51" t="s">
        <v>85</v>
      </c>
      <c r="AE51" t="s">
        <v>82</v>
      </c>
      <c r="AF51" t="s">
        <v>82</v>
      </c>
      <c r="AG51" t="s">
        <v>82</v>
      </c>
      <c r="AH51" t="s">
        <v>82</v>
      </c>
      <c r="AI51" t="s">
        <v>82</v>
      </c>
      <c r="AJ51" t="s">
        <v>82</v>
      </c>
      <c r="AK51" t="s">
        <v>82</v>
      </c>
      <c r="AL51" t="s">
        <v>82</v>
      </c>
      <c r="AM51" t="s">
        <v>82</v>
      </c>
      <c r="AN51" t="s">
        <v>82</v>
      </c>
      <c r="AO51" t="s">
        <v>82</v>
      </c>
      <c r="AP51" t="s">
        <v>82</v>
      </c>
      <c r="AQ51" t="s">
        <v>82</v>
      </c>
      <c r="AR51" t="s">
        <v>82</v>
      </c>
      <c r="AS51" t="s">
        <v>82</v>
      </c>
      <c r="AT51" t="s">
        <v>82</v>
      </c>
      <c r="AU51" t="s">
        <v>82</v>
      </c>
      <c r="AV51" t="s">
        <v>90</v>
      </c>
      <c r="AW51" t="s">
        <v>90</v>
      </c>
      <c r="AX51" t="s">
        <v>82</v>
      </c>
      <c r="AY51" t="s">
        <v>82</v>
      </c>
      <c r="AZ51" t="s">
        <v>90</v>
      </c>
      <c r="BA51" t="s">
        <v>90</v>
      </c>
      <c r="BB51" t="s">
        <v>90</v>
      </c>
      <c r="BC51" t="s">
        <v>90</v>
      </c>
      <c r="BD51" t="s">
        <v>82</v>
      </c>
      <c r="BE51" t="s">
        <v>90</v>
      </c>
      <c r="BF51" t="s">
        <v>82</v>
      </c>
      <c r="BG51" t="s">
        <v>82</v>
      </c>
      <c r="BH51" t="s">
        <v>82</v>
      </c>
      <c r="BI51" t="s">
        <v>82</v>
      </c>
      <c r="BJ51" t="s">
        <v>82</v>
      </c>
      <c r="BK51" t="s">
        <v>82</v>
      </c>
      <c r="BL51" t="s">
        <v>90</v>
      </c>
      <c r="BM51" t="s">
        <v>569</v>
      </c>
      <c r="BN51" t="s">
        <v>570</v>
      </c>
    </row>
    <row r="52" spans="1:66" x14ac:dyDescent="0.35">
      <c r="A52">
        <v>185462</v>
      </c>
      <c r="B52" t="s">
        <v>600</v>
      </c>
      <c r="C52" t="s">
        <v>65</v>
      </c>
      <c r="D52" t="s">
        <v>66</v>
      </c>
      <c r="E52" t="s">
        <v>67</v>
      </c>
      <c r="F52" t="s">
        <v>542</v>
      </c>
      <c r="G52" t="s">
        <v>69</v>
      </c>
      <c r="H52" t="s">
        <v>70</v>
      </c>
      <c r="I52" t="s">
        <v>606</v>
      </c>
      <c r="J52" t="s">
        <v>607</v>
      </c>
      <c r="K52" t="s">
        <v>608</v>
      </c>
      <c r="L52" t="s">
        <v>608</v>
      </c>
      <c r="M52" t="s">
        <v>604</v>
      </c>
      <c r="N52" t="s">
        <v>82</v>
      </c>
      <c r="O52" t="s">
        <v>77</v>
      </c>
      <c r="P52" s="2">
        <f t="shared" si="0"/>
        <v>0</v>
      </c>
      <c r="Q52" t="s">
        <v>78</v>
      </c>
      <c r="R52" s="2">
        <f t="shared" si="1"/>
        <v>0.36388888888888887</v>
      </c>
      <c r="S52" t="s">
        <v>609</v>
      </c>
      <c r="T52">
        <v>0</v>
      </c>
      <c r="U52">
        <v>1</v>
      </c>
      <c r="V52" t="s">
        <v>80</v>
      </c>
      <c r="W52" t="s">
        <v>82</v>
      </c>
      <c r="X52" t="s">
        <v>548</v>
      </c>
      <c r="Y52" t="s">
        <v>82</v>
      </c>
      <c r="Z52" t="s">
        <v>82</v>
      </c>
      <c r="AA52" t="s">
        <v>83</v>
      </c>
      <c r="AB52" t="s">
        <v>84</v>
      </c>
      <c r="AC52" t="s">
        <v>82</v>
      </c>
      <c r="AD52" t="s">
        <v>85</v>
      </c>
      <c r="AE52" t="s">
        <v>82</v>
      </c>
      <c r="AF52" t="s">
        <v>82</v>
      </c>
      <c r="AG52" t="s">
        <v>82</v>
      </c>
      <c r="AH52" t="s">
        <v>82</v>
      </c>
      <c r="AI52" t="s">
        <v>82</v>
      </c>
      <c r="AJ52" t="s">
        <v>82</v>
      </c>
      <c r="AK52" t="s">
        <v>82</v>
      </c>
      <c r="AL52" t="s">
        <v>82</v>
      </c>
      <c r="AM52" t="s">
        <v>82</v>
      </c>
      <c r="AN52" t="s">
        <v>82</v>
      </c>
      <c r="AO52" t="s">
        <v>82</v>
      </c>
      <c r="AP52" t="s">
        <v>82</v>
      </c>
      <c r="AQ52" t="s">
        <v>82</v>
      </c>
      <c r="AR52" t="s">
        <v>82</v>
      </c>
      <c r="AS52" t="s">
        <v>82</v>
      </c>
      <c r="AT52" t="s">
        <v>82</v>
      </c>
      <c r="AU52" t="s">
        <v>82</v>
      </c>
      <c r="AV52" t="s">
        <v>90</v>
      </c>
      <c r="AW52" t="s">
        <v>90</v>
      </c>
      <c r="AX52" t="s">
        <v>82</v>
      </c>
      <c r="AY52" t="s">
        <v>82</v>
      </c>
      <c r="AZ52" t="s">
        <v>90</v>
      </c>
      <c r="BA52" t="s">
        <v>90</v>
      </c>
      <c r="BB52" t="s">
        <v>90</v>
      </c>
      <c r="BC52" t="s">
        <v>90</v>
      </c>
      <c r="BD52" t="s">
        <v>82</v>
      </c>
      <c r="BE52" t="s">
        <v>90</v>
      </c>
      <c r="BF52" t="s">
        <v>82</v>
      </c>
      <c r="BG52" t="s">
        <v>82</v>
      </c>
      <c r="BH52" t="s">
        <v>82</v>
      </c>
      <c r="BI52" t="s">
        <v>82</v>
      </c>
      <c r="BJ52" t="s">
        <v>82</v>
      </c>
      <c r="BK52" t="s">
        <v>82</v>
      </c>
      <c r="BL52" t="s">
        <v>90</v>
      </c>
      <c r="BM52" t="s">
        <v>569</v>
      </c>
      <c r="BN52" t="s">
        <v>570</v>
      </c>
    </row>
    <row r="53" spans="1:66" x14ac:dyDescent="0.35">
      <c r="A53">
        <v>185501</v>
      </c>
      <c r="B53" t="s">
        <v>610</v>
      </c>
      <c r="C53" t="s">
        <v>65</v>
      </c>
      <c r="D53" t="s">
        <v>66</v>
      </c>
      <c r="E53" t="s">
        <v>67</v>
      </c>
      <c r="F53" t="s">
        <v>123</v>
      </c>
      <c r="G53" t="s">
        <v>69</v>
      </c>
      <c r="H53" t="s">
        <v>70</v>
      </c>
      <c r="I53" t="s">
        <v>611</v>
      </c>
      <c r="J53" t="s">
        <v>612</v>
      </c>
      <c r="K53" t="s">
        <v>613</v>
      </c>
      <c r="L53" t="s">
        <v>613</v>
      </c>
      <c r="M53" t="s">
        <v>614</v>
      </c>
      <c r="N53" t="s">
        <v>82</v>
      </c>
      <c r="O53" t="s">
        <v>77</v>
      </c>
      <c r="P53" s="2">
        <f t="shared" si="0"/>
        <v>0</v>
      </c>
      <c r="Q53" t="s">
        <v>78</v>
      </c>
      <c r="R53" s="2">
        <f t="shared" si="1"/>
        <v>1.4722222222222222E-2</v>
      </c>
      <c r="S53" t="s">
        <v>615</v>
      </c>
      <c r="T53">
        <v>0</v>
      </c>
      <c r="U53">
        <v>1</v>
      </c>
      <c r="V53" t="s">
        <v>80</v>
      </c>
      <c r="W53" t="s">
        <v>82</v>
      </c>
      <c r="X53" t="s">
        <v>81</v>
      </c>
      <c r="Y53" t="s">
        <v>82</v>
      </c>
      <c r="Z53" t="s">
        <v>82</v>
      </c>
      <c r="AA53" t="s">
        <v>83</v>
      </c>
      <c r="AB53" t="s">
        <v>84</v>
      </c>
      <c r="AC53" t="s">
        <v>82</v>
      </c>
      <c r="AD53" t="s">
        <v>85</v>
      </c>
      <c r="AE53" t="s">
        <v>82</v>
      </c>
      <c r="AF53" t="s">
        <v>82</v>
      </c>
      <c r="AG53" t="s">
        <v>87</v>
      </c>
      <c r="AH53" t="s">
        <v>82</v>
      </c>
      <c r="AI53" t="s">
        <v>129</v>
      </c>
      <c r="AJ53" t="s">
        <v>82</v>
      </c>
      <c r="AK53" t="s">
        <v>82</v>
      </c>
      <c r="AL53" t="s">
        <v>82</v>
      </c>
      <c r="AM53" t="s">
        <v>82</v>
      </c>
      <c r="AN53" t="s">
        <v>82</v>
      </c>
      <c r="AO53" t="s">
        <v>82</v>
      </c>
      <c r="AP53" t="s">
        <v>82</v>
      </c>
      <c r="AQ53" t="s">
        <v>82</v>
      </c>
      <c r="AR53" t="s">
        <v>82</v>
      </c>
      <c r="AS53" t="s">
        <v>130</v>
      </c>
      <c r="AT53" t="s">
        <v>129</v>
      </c>
      <c r="AU53" t="s">
        <v>82</v>
      </c>
      <c r="AV53" t="s">
        <v>90</v>
      </c>
      <c r="AW53" t="s">
        <v>90</v>
      </c>
      <c r="AX53" t="s">
        <v>82</v>
      </c>
      <c r="AY53" t="s">
        <v>82</v>
      </c>
      <c r="AZ53" t="s">
        <v>90</v>
      </c>
      <c r="BA53" t="s">
        <v>90</v>
      </c>
      <c r="BB53" t="s">
        <v>90</v>
      </c>
      <c r="BC53" t="s">
        <v>90</v>
      </c>
      <c r="BD53" t="s">
        <v>82</v>
      </c>
      <c r="BE53" t="s">
        <v>90</v>
      </c>
      <c r="BF53" t="s">
        <v>82</v>
      </c>
      <c r="BG53" t="s">
        <v>82</v>
      </c>
      <c r="BH53" t="s">
        <v>82</v>
      </c>
      <c r="BI53" t="s">
        <v>82</v>
      </c>
      <c r="BJ53" t="s">
        <v>82</v>
      </c>
      <c r="BK53" t="s">
        <v>82</v>
      </c>
      <c r="BL53" t="s">
        <v>90</v>
      </c>
      <c r="BM53" t="s">
        <v>459</v>
      </c>
      <c r="BN53" t="s">
        <v>460</v>
      </c>
    </row>
    <row r="54" spans="1:66" x14ac:dyDescent="0.35">
      <c r="A54">
        <v>185523</v>
      </c>
      <c r="B54" t="s">
        <v>616</v>
      </c>
      <c r="C54" t="s">
        <v>65</v>
      </c>
      <c r="D54" t="s">
        <v>66</v>
      </c>
      <c r="E54" t="s">
        <v>67</v>
      </c>
      <c r="F54" t="s">
        <v>187</v>
      </c>
      <c r="G54" t="s">
        <v>69</v>
      </c>
      <c r="H54" t="s">
        <v>70</v>
      </c>
      <c r="I54" t="s">
        <v>617</v>
      </c>
      <c r="J54" t="s">
        <v>618</v>
      </c>
      <c r="K54" t="s">
        <v>619</v>
      </c>
      <c r="L54" t="s">
        <v>619</v>
      </c>
      <c r="M54" t="s">
        <v>620</v>
      </c>
      <c r="N54" t="s">
        <v>621</v>
      </c>
      <c r="O54" t="s">
        <v>77</v>
      </c>
      <c r="P54" s="2">
        <f t="shared" si="0"/>
        <v>7.35</v>
      </c>
      <c r="Q54" t="s">
        <v>622</v>
      </c>
      <c r="R54" s="2">
        <f t="shared" si="1"/>
        <v>5.552777777777778</v>
      </c>
      <c r="S54" t="s">
        <v>623</v>
      </c>
      <c r="T54">
        <v>1</v>
      </c>
      <c r="U54">
        <v>1</v>
      </c>
      <c r="V54" t="s">
        <v>80</v>
      </c>
      <c r="W54" t="s">
        <v>80</v>
      </c>
      <c r="X54" t="s">
        <v>81</v>
      </c>
      <c r="Y54" t="s">
        <v>82</v>
      </c>
      <c r="Z54" t="s">
        <v>82</v>
      </c>
      <c r="AA54" t="s">
        <v>83</v>
      </c>
      <c r="AB54" t="s">
        <v>84</v>
      </c>
      <c r="AC54" t="s">
        <v>82</v>
      </c>
      <c r="AD54" t="s">
        <v>85</v>
      </c>
      <c r="AE54" t="s">
        <v>506</v>
      </c>
      <c r="AF54" t="s">
        <v>82</v>
      </c>
      <c r="AG54" t="s">
        <v>87</v>
      </c>
      <c r="AH54" t="s">
        <v>506</v>
      </c>
      <c r="AI54" t="s">
        <v>504</v>
      </c>
      <c r="AJ54" t="s">
        <v>82</v>
      </c>
      <c r="AK54" t="s">
        <v>82</v>
      </c>
      <c r="AL54" t="s">
        <v>82</v>
      </c>
      <c r="AM54" t="s">
        <v>82</v>
      </c>
      <c r="AN54" t="s">
        <v>82</v>
      </c>
      <c r="AO54" t="s">
        <v>82</v>
      </c>
      <c r="AP54" t="s">
        <v>82</v>
      </c>
      <c r="AQ54" t="s">
        <v>82</v>
      </c>
      <c r="AR54" t="s">
        <v>624</v>
      </c>
      <c r="AS54" t="s">
        <v>88</v>
      </c>
      <c r="AT54" t="s">
        <v>506</v>
      </c>
      <c r="AU54" t="s">
        <v>6</v>
      </c>
      <c r="AV54" t="s">
        <v>90</v>
      </c>
      <c r="AW54" t="s">
        <v>90</v>
      </c>
      <c r="AX54" t="s">
        <v>82</v>
      </c>
      <c r="AY54" t="s">
        <v>82</v>
      </c>
      <c r="AZ54" t="s">
        <v>90</v>
      </c>
      <c r="BA54" t="s">
        <v>90</v>
      </c>
      <c r="BB54" t="s">
        <v>90</v>
      </c>
      <c r="BC54" t="s">
        <v>90</v>
      </c>
      <c r="BD54" t="s">
        <v>82</v>
      </c>
      <c r="BE54" t="s">
        <v>90</v>
      </c>
      <c r="BF54" t="s">
        <v>82</v>
      </c>
      <c r="BG54" t="s">
        <v>82</v>
      </c>
      <c r="BH54" t="s">
        <v>82</v>
      </c>
      <c r="BI54" t="s">
        <v>82</v>
      </c>
      <c r="BJ54" t="s">
        <v>82</v>
      </c>
      <c r="BK54" t="s">
        <v>82</v>
      </c>
      <c r="BL54" t="s">
        <v>90</v>
      </c>
      <c r="BM54" t="s">
        <v>506</v>
      </c>
      <c r="BN54" t="s">
        <v>507</v>
      </c>
    </row>
    <row r="55" spans="1:66" x14ac:dyDescent="0.35">
      <c r="A55">
        <v>185694</v>
      </c>
      <c r="B55" t="s">
        <v>625</v>
      </c>
      <c r="C55" t="s">
        <v>65</v>
      </c>
      <c r="D55" t="s">
        <v>66</v>
      </c>
      <c r="E55" t="s">
        <v>67</v>
      </c>
      <c r="F55" t="s">
        <v>68</v>
      </c>
      <c r="G55" t="s">
        <v>69</v>
      </c>
      <c r="H55" t="s">
        <v>70</v>
      </c>
      <c r="I55" t="s">
        <v>626</v>
      </c>
      <c r="J55" t="s">
        <v>627</v>
      </c>
      <c r="K55" t="s">
        <v>628</v>
      </c>
      <c r="L55" t="s">
        <v>628</v>
      </c>
      <c r="M55" t="s">
        <v>629</v>
      </c>
      <c r="N55" t="s">
        <v>630</v>
      </c>
      <c r="O55" t="s">
        <v>77</v>
      </c>
      <c r="P55" s="2">
        <f t="shared" si="0"/>
        <v>14.4</v>
      </c>
      <c r="Q55" t="s">
        <v>631</v>
      </c>
      <c r="R55" s="2">
        <f t="shared" si="1"/>
        <v>1.1969444444444444</v>
      </c>
      <c r="S55" t="s">
        <v>632</v>
      </c>
      <c r="T55">
        <v>2</v>
      </c>
      <c r="U55">
        <v>2</v>
      </c>
      <c r="V55" t="s">
        <v>80</v>
      </c>
      <c r="W55" t="s">
        <v>80</v>
      </c>
      <c r="X55" t="s">
        <v>81</v>
      </c>
      <c r="Y55" t="s">
        <v>82</v>
      </c>
      <c r="Z55" t="s">
        <v>82</v>
      </c>
      <c r="AA55" t="s">
        <v>83</v>
      </c>
      <c r="AB55" t="s">
        <v>84</v>
      </c>
      <c r="AC55" t="s">
        <v>82</v>
      </c>
      <c r="AD55" t="s">
        <v>85</v>
      </c>
      <c r="AE55" t="s">
        <v>633</v>
      </c>
      <c r="AF55" t="s">
        <v>82</v>
      </c>
      <c r="AG55" t="s">
        <v>87</v>
      </c>
      <c r="AH55" t="s">
        <v>634</v>
      </c>
      <c r="AI55" t="s">
        <v>635</v>
      </c>
      <c r="AJ55" t="s">
        <v>82</v>
      </c>
      <c r="AK55" t="s">
        <v>82</v>
      </c>
      <c r="AL55" t="s">
        <v>82</v>
      </c>
      <c r="AM55" t="s">
        <v>82</v>
      </c>
      <c r="AN55" t="s">
        <v>82</v>
      </c>
      <c r="AO55" t="s">
        <v>82</v>
      </c>
      <c r="AP55" t="s">
        <v>82</v>
      </c>
      <c r="AQ55" t="s">
        <v>82</v>
      </c>
      <c r="AR55" t="s">
        <v>82</v>
      </c>
      <c r="AS55" t="s">
        <v>88</v>
      </c>
      <c r="AT55" t="s">
        <v>636</v>
      </c>
      <c r="AU55" t="s">
        <v>6</v>
      </c>
      <c r="AV55" t="s">
        <v>90</v>
      </c>
      <c r="AW55" t="s">
        <v>90</v>
      </c>
      <c r="AX55" t="s">
        <v>82</v>
      </c>
      <c r="AY55" t="s">
        <v>82</v>
      </c>
      <c r="AZ55" t="s">
        <v>90</v>
      </c>
      <c r="BA55" t="s">
        <v>90</v>
      </c>
      <c r="BB55" t="s">
        <v>90</v>
      </c>
      <c r="BC55" t="s">
        <v>90</v>
      </c>
      <c r="BD55" t="s">
        <v>82</v>
      </c>
      <c r="BE55" t="s">
        <v>90</v>
      </c>
      <c r="BF55" t="s">
        <v>82</v>
      </c>
      <c r="BG55" t="s">
        <v>82</v>
      </c>
      <c r="BH55" t="s">
        <v>82</v>
      </c>
      <c r="BI55" t="s">
        <v>82</v>
      </c>
      <c r="BJ55" t="s">
        <v>82</v>
      </c>
      <c r="BK55" t="s">
        <v>82</v>
      </c>
      <c r="BL55" t="s">
        <v>90</v>
      </c>
      <c r="BM55" t="s">
        <v>634</v>
      </c>
      <c r="BN55" t="s">
        <v>637</v>
      </c>
    </row>
    <row r="56" spans="1:66" x14ac:dyDescent="0.35">
      <c r="A56">
        <v>186009</v>
      </c>
      <c r="B56" t="s">
        <v>410</v>
      </c>
      <c r="C56" t="s">
        <v>65</v>
      </c>
      <c r="D56" t="s">
        <v>66</v>
      </c>
      <c r="E56" t="s">
        <v>67</v>
      </c>
      <c r="F56" t="s">
        <v>123</v>
      </c>
      <c r="G56" t="s">
        <v>69</v>
      </c>
      <c r="H56" t="s">
        <v>70</v>
      </c>
      <c r="I56" t="s">
        <v>638</v>
      </c>
      <c r="J56" t="s">
        <v>639</v>
      </c>
      <c r="K56" t="s">
        <v>640</v>
      </c>
      <c r="L56" t="s">
        <v>640</v>
      </c>
      <c r="M56" t="s">
        <v>641</v>
      </c>
      <c r="N56" t="s">
        <v>82</v>
      </c>
      <c r="O56" t="s">
        <v>77</v>
      </c>
      <c r="P56" s="2">
        <f t="shared" si="0"/>
        <v>0</v>
      </c>
      <c r="Q56" t="s">
        <v>78</v>
      </c>
      <c r="R56" s="2">
        <f t="shared" si="1"/>
        <v>0.47388888888888892</v>
      </c>
      <c r="S56" t="s">
        <v>642</v>
      </c>
      <c r="T56">
        <v>0</v>
      </c>
      <c r="U56">
        <v>1</v>
      </c>
      <c r="V56" t="s">
        <v>80</v>
      </c>
      <c r="W56" t="s">
        <v>82</v>
      </c>
      <c r="X56" t="s">
        <v>81</v>
      </c>
      <c r="Y56" t="s">
        <v>82</v>
      </c>
      <c r="Z56" t="s">
        <v>82</v>
      </c>
      <c r="AA56" t="s">
        <v>83</v>
      </c>
      <c r="AB56" t="s">
        <v>84</v>
      </c>
      <c r="AC56" t="s">
        <v>82</v>
      </c>
      <c r="AD56" t="s">
        <v>85</v>
      </c>
      <c r="AE56" t="s">
        <v>82</v>
      </c>
      <c r="AF56" t="s">
        <v>82</v>
      </c>
      <c r="AG56" t="s">
        <v>87</v>
      </c>
      <c r="AH56" t="s">
        <v>82</v>
      </c>
      <c r="AI56" t="s">
        <v>129</v>
      </c>
      <c r="AJ56" t="s">
        <v>82</v>
      </c>
      <c r="AK56" t="s">
        <v>82</v>
      </c>
      <c r="AL56" t="s">
        <v>82</v>
      </c>
      <c r="AM56" t="s">
        <v>82</v>
      </c>
      <c r="AN56" t="s">
        <v>82</v>
      </c>
      <c r="AO56" t="s">
        <v>82</v>
      </c>
      <c r="AP56" t="s">
        <v>82</v>
      </c>
      <c r="AQ56" t="s">
        <v>82</v>
      </c>
      <c r="AR56" t="s">
        <v>82</v>
      </c>
      <c r="AS56" t="s">
        <v>130</v>
      </c>
      <c r="AT56" t="s">
        <v>129</v>
      </c>
      <c r="AU56" t="s">
        <v>82</v>
      </c>
      <c r="AV56" t="s">
        <v>90</v>
      </c>
      <c r="AW56" t="s">
        <v>90</v>
      </c>
      <c r="AX56" t="s">
        <v>82</v>
      </c>
      <c r="AY56" t="s">
        <v>82</v>
      </c>
      <c r="AZ56" t="s">
        <v>90</v>
      </c>
      <c r="BA56" t="s">
        <v>90</v>
      </c>
      <c r="BB56" t="s">
        <v>90</v>
      </c>
      <c r="BC56" t="s">
        <v>90</v>
      </c>
      <c r="BD56" t="s">
        <v>82</v>
      </c>
      <c r="BE56" t="s">
        <v>90</v>
      </c>
      <c r="BF56" t="s">
        <v>82</v>
      </c>
      <c r="BG56" t="s">
        <v>82</v>
      </c>
      <c r="BH56" t="s">
        <v>82</v>
      </c>
      <c r="BI56" t="s">
        <v>82</v>
      </c>
      <c r="BJ56" t="s">
        <v>82</v>
      </c>
      <c r="BK56" t="s">
        <v>82</v>
      </c>
      <c r="BL56" t="s">
        <v>90</v>
      </c>
      <c r="BM56" t="s">
        <v>139</v>
      </c>
      <c r="BN56" t="s">
        <v>643</v>
      </c>
    </row>
    <row r="57" spans="1:66" x14ac:dyDescent="0.35">
      <c r="A57">
        <v>186029</v>
      </c>
      <c r="B57" t="s">
        <v>644</v>
      </c>
      <c r="C57" t="s">
        <v>65</v>
      </c>
      <c r="D57" t="s">
        <v>66</v>
      </c>
      <c r="E57" t="s">
        <v>67</v>
      </c>
      <c r="F57" t="s">
        <v>187</v>
      </c>
      <c r="G57" t="s">
        <v>69</v>
      </c>
      <c r="H57" t="s">
        <v>70</v>
      </c>
      <c r="I57" t="s">
        <v>645</v>
      </c>
      <c r="J57" t="s">
        <v>646</v>
      </c>
      <c r="K57" t="s">
        <v>647</v>
      </c>
      <c r="L57" t="s">
        <v>648</v>
      </c>
      <c r="M57" t="s">
        <v>649</v>
      </c>
      <c r="N57" t="s">
        <v>650</v>
      </c>
      <c r="O57" t="s">
        <v>77</v>
      </c>
      <c r="P57" s="2">
        <f t="shared" si="0"/>
        <v>6.083333333333333</v>
      </c>
      <c r="Q57" t="s">
        <v>651</v>
      </c>
      <c r="R57" s="2">
        <f t="shared" si="1"/>
        <v>30.06</v>
      </c>
      <c r="S57" t="s">
        <v>652</v>
      </c>
      <c r="T57">
        <v>6</v>
      </c>
      <c r="U57">
        <v>4</v>
      </c>
      <c r="V57" t="s">
        <v>80</v>
      </c>
      <c r="W57" t="s">
        <v>80</v>
      </c>
      <c r="X57" t="s">
        <v>81</v>
      </c>
      <c r="Y57" t="s">
        <v>82</v>
      </c>
      <c r="Z57" t="s">
        <v>82</v>
      </c>
      <c r="AA57" t="s">
        <v>83</v>
      </c>
      <c r="AB57" t="s">
        <v>84</v>
      </c>
      <c r="AC57" t="s">
        <v>80</v>
      </c>
      <c r="AD57" t="s">
        <v>220</v>
      </c>
      <c r="AE57" t="s">
        <v>82</v>
      </c>
      <c r="AF57" t="s">
        <v>82</v>
      </c>
      <c r="AG57" t="s">
        <v>87</v>
      </c>
      <c r="AH57" t="s">
        <v>653</v>
      </c>
      <c r="AI57" t="s">
        <v>654</v>
      </c>
      <c r="AJ57" t="s">
        <v>82</v>
      </c>
      <c r="AK57" t="s">
        <v>82</v>
      </c>
      <c r="AL57" t="s">
        <v>82</v>
      </c>
      <c r="AM57" t="s">
        <v>82</v>
      </c>
      <c r="AN57" t="s">
        <v>82</v>
      </c>
      <c r="AO57" t="s">
        <v>82</v>
      </c>
      <c r="AP57" t="s">
        <v>82</v>
      </c>
      <c r="AQ57" t="s">
        <v>82</v>
      </c>
      <c r="AR57" t="s">
        <v>655</v>
      </c>
      <c r="AS57" t="s">
        <v>88</v>
      </c>
      <c r="AT57" t="s">
        <v>653</v>
      </c>
      <c r="AU57" t="s">
        <v>6</v>
      </c>
      <c r="AV57" t="s">
        <v>90</v>
      </c>
      <c r="AW57" t="s">
        <v>90</v>
      </c>
      <c r="AX57" t="s">
        <v>82</v>
      </c>
      <c r="AY57" t="s">
        <v>82</v>
      </c>
      <c r="AZ57" t="s">
        <v>90</v>
      </c>
      <c r="BA57" t="s">
        <v>90</v>
      </c>
      <c r="BB57" t="s">
        <v>90</v>
      </c>
      <c r="BC57" t="s">
        <v>90</v>
      </c>
      <c r="BD57" t="s">
        <v>82</v>
      </c>
      <c r="BE57" t="s">
        <v>90</v>
      </c>
      <c r="BF57" t="s">
        <v>82</v>
      </c>
      <c r="BG57" t="s">
        <v>82</v>
      </c>
      <c r="BH57" t="s">
        <v>82</v>
      </c>
      <c r="BI57" t="s">
        <v>82</v>
      </c>
      <c r="BJ57" t="s">
        <v>82</v>
      </c>
      <c r="BK57" t="s">
        <v>82</v>
      </c>
      <c r="BL57" t="s">
        <v>90</v>
      </c>
      <c r="BM57" t="s">
        <v>656</v>
      </c>
      <c r="BN57" t="s">
        <v>657</v>
      </c>
    </row>
    <row r="58" spans="1:66" x14ac:dyDescent="0.35">
      <c r="A58">
        <v>186116</v>
      </c>
      <c r="B58" t="s">
        <v>658</v>
      </c>
      <c r="C58" t="s">
        <v>65</v>
      </c>
      <c r="D58" t="s">
        <v>66</v>
      </c>
      <c r="E58" t="s">
        <v>67</v>
      </c>
      <c r="F58" t="s">
        <v>87</v>
      </c>
      <c r="G58" t="s">
        <v>69</v>
      </c>
      <c r="H58" t="s">
        <v>70</v>
      </c>
      <c r="I58" t="s">
        <v>659</v>
      </c>
      <c r="J58" t="s">
        <v>660</v>
      </c>
      <c r="K58" t="s">
        <v>661</v>
      </c>
      <c r="L58" t="s">
        <v>661</v>
      </c>
      <c r="M58" t="s">
        <v>662</v>
      </c>
      <c r="N58" t="s">
        <v>663</v>
      </c>
      <c r="O58" t="s">
        <v>77</v>
      </c>
      <c r="P58" s="2">
        <f t="shared" si="0"/>
        <v>6.2833333333333332</v>
      </c>
      <c r="Q58" t="s">
        <v>664</v>
      </c>
      <c r="R58" s="2">
        <f t="shared" si="1"/>
        <v>38.784444444444446</v>
      </c>
      <c r="S58" t="s">
        <v>665</v>
      </c>
      <c r="T58">
        <v>7</v>
      </c>
      <c r="U58">
        <v>9</v>
      </c>
      <c r="V58" t="s">
        <v>80</v>
      </c>
      <c r="W58" t="s">
        <v>80</v>
      </c>
      <c r="X58" t="s">
        <v>81</v>
      </c>
      <c r="Y58" t="s">
        <v>82</v>
      </c>
      <c r="Z58" t="s">
        <v>82</v>
      </c>
      <c r="AA58" t="s">
        <v>83</v>
      </c>
      <c r="AB58" t="s">
        <v>84</v>
      </c>
      <c r="AC58" t="s">
        <v>80</v>
      </c>
      <c r="AD58" t="s">
        <v>220</v>
      </c>
      <c r="AE58" t="s">
        <v>666</v>
      </c>
      <c r="AF58" t="s">
        <v>82</v>
      </c>
      <c r="AG58" t="s">
        <v>87</v>
      </c>
      <c r="AH58" t="s">
        <v>667</v>
      </c>
      <c r="AI58" t="s">
        <v>668</v>
      </c>
      <c r="AJ58" t="s">
        <v>82</v>
      </c>
      <c r="AK58" t="s">
        <v>82</v>
      </c>
      <c r="AL58" t="s">
        <v>82</v>
      </c>
      <c r="AM58" t="s">
        <v>82</v>
      </c>
      <c r="AN58" t="s">
        <v>669</v>
      </c>
      <c r="AO58" t="s">
        <v>82</v>
      </c>
      <c r="AP58" t="s">
        <v>82</v>
      </c>
      <c r="AQ58" t="s">
        <v>82</v>
      </c>
      <c r="AR58" t="s">
        <v>82</v>
      </c>
      <c r="AS58" t="s">
        <v>88</v>
      </c>
      <c r="AT58" t="s">
        <v>670</v>
      </c>
      <c r="AU58" t="s">
        <v>106</v>
      </c>
      <c r="AV58" t="s">
        <v>90</v>
      </c>
      <c r="AW58" t="s">
        <v>90</v>
      </c>
      <c r="AX58" t="s">
        <v>82</v>
      </c>
      <c r="AY58" t="s">
        <v>82</v>
      </c>
      <c r="AZ58" t="s">
        <v>90</v>
      </c>
      <c r="BA58" t="s">
        <v>90</v>
      </c>
      <c r="BB58" t="s">
        <v>90</v>
      </c>
      <c r="BC58" t="s">
        <v>90</v>
      </c>
      <c r="BD58" t="s">
        <v>671</v>
      </c>
      <c r="BE58" t="s">
        <v>90</v>
      </c>
      <c r="BF58" t="s">
        <v>82</v>
      </c>
      <c r="BG58" t="s">
        <v>82</v>
      </c>
      <c r="BH58" t="s">
        <v>82</v>
      </c>
      <c r="BI58" t="s">
        <v>82</v>
      </c>
      <c r="BJ58" t="s">
        <v>82</v>
      </c>
      <c r="BK58" t="s">
        <v>82</v>
      </c>
      <c r="BL58" t="s">
        <v>90</v>
      </c>
      <c r="BM58" t="s">
        <v>672</v>
      </c>
      <c r="BN58" t="s">
        <v>673</v>
      </c>
    </row>
    <row r="59" spans="1:66" x14ac:dyDescent="0.35">
      <c r="A59">
        <v>186382</v>
      </c>
      <c r="B59" t="s">
        <v>674</v>
      </c>
      <c r="C59" t="s">
        <v>65</v>
      </c>
      <c r="D59" t="s">
        <v>66</v>
      </c>
      <c r="E59" t="s">
        <v>67</v>
      </c>
      <c r="F59" t="s">
        <v>68</v>
      </c>
      <c r="G59" t="s">
        <v>69</v>
      </c>
      <c r="H59" t="s">
        <v>70</v>
      </c>
      <c r="I59" t="s">
        <v>675</v>
      </c>
      <c r="J59" t="s">
        <v>676</v>
      </c>
      <c r="K59" t="s">
        <v>677</v>
      </c>
      <c r="L59" t="s">
        <v>677</v>
      </c>
      <c r="M59" t="s">
        <v>678</v>
      </c>
      <c r="N59" t="s">
        <v>679</v>
      </c>
      <c r="O59" t="s">
        <v>77</v>
      </c>
      <c r="P59" s="2">
        <f t="shared" si="0"/>
        <v>35.366666666666667</v>
      </c>
      <c r="Q59" t="s">
        <v>680</v>
      </c>
      <c r="R59" s="2">
        <f t="shared" si="1"/>
        <v>16.09888888888889</v>
      </c>
      <c r="S59" t="s">
        <v>681</v>
      </c>
      <c r="T59">
        <v>2</v>
      </c>
      <c r="U59">
        <v>1</v>
      </c>
      <c r="V59" t="s">
        <v>80</v>
      </c>
      <c r="W59" t="s">
        <v>80</v>
      </c>
      <c r="X59" t="s">
        <v>81</v>
      </c>
      <c r="Y59" t="s">
        <v>82</v>
      </c>
      <c r="Z59" t="s">
        <v>82</v>
      </c>
      <c r="AA59" t="s">
        <v>83</v>
      </c>
      <c r="AB59" t="s">
        <v>84</v>
      </c>
      <c r="AC59" t="s">
        <v>82</v>
      </c>
      <c r="AD59" t="s">
        <v>85</v>
      </c>
      <c r="AE59" t="s">
        <v>682</v>
      </c>
      <c r="AF59" t="s">
        <v>82</v>
      </c>
      <c r="AG59" t="s">
        <v>87</v>
      </c>
      <c r="AH59" t="s">
        <v>683</v>
      </c>
      <c r="AI59" t="s">
        <v>684</v>
      </c>
      <c r="AJ59" t="s">
        <v>82</v>
      </c>
      <c r="AK59" t="s">
        <v>82</v>
      </c>
      <c r="AL59" t="s">
        <v>82</v>
      </c>
      <c r="AM59" t="s">
        <v>82</v>
      </c>
      <c r="AN59" t="s">
        <v>82</v>
      </c>
      <c r="AO59" t="s">
        <v>82</v>
      </c>
      <c r="AP59" t="s">
        <v>82</v>
      </c>
      <c r="AQ59" t="s">
        <v>82</v>
      </c>
      <c r="AR59" t="s">
        <v>82</v>
      </c>
      <c r="AS59" t="s">
        <v>88</v>
      </c>
      <c r="AT59" t="s">
        <v>683</v>
      </c>
      <c r="AU59" t="s">
        <v>6</v>
      </c>
      <c r="AV59" t="s">
        <v>90</v>
      </c>
      <c r="AW59" t="s">
        <v>90</v>
      </c>
      <c r="AX59" t="s">
        <v>82</v>
      </c>
      <c r="AY59" t="s">
        <v>82</v>
      </c>
      <c r="AZ59" t="s">
        <v>90</v>
      </c>
      <c r="BA59" t="s">
        <v>90</v>
      </c>
      <c r="BB59" t="s">
        <v>90</v>
      </c>
      <c r="BC59" t="s">
        <v>91</v>
      </c>
      <c r="BD59" t="s">
        <v>82</v>
      </c>
      <c r="BE59" t="s">
        <v>90</v>
      </c>
      <c r="BF59" t="s">
        <v>82</v>
      </c>
      <c r="BG59" t="s">
        <v>82</v>
      </c>
      <c r="BH59" t="s">
        <v>82</v>
      </c>
      <c r="BI59" t="s">
        <v>82</v>
      </c>
      <c r="BJ59" t="s">
        <v>82</v>
      </c>
      <c r="BK59" t="s">
        <v>82</v>
      </c>
      <c r="BL59" t="s">
        <v>90</v>
      </c>
      <c r="BM59" t="s">
        <v>682</v>
      </c>
      <c r="BN59" t="s">
        <v>685</v>
      </c>
    </row>
    <row r="60" spans="1:66" x14ac:dyDescent="0.35">
      <c r="A60">
        <v>188266</v>
      </c>
      <c r="B60" t="s">
        <v>686</v>
      </c>
      <c r="C60" t="s">
        <v>65</v>
      </c>
      <c r="D60" t="s">
        <v>66</v>
      </c>
      <c r="E60" t="s">
        <v>586</v>
      </c>
      <c r="F60" t="s">
        <v>187</v>
      </c>
      <c r="G60" t="s">
        <v>69</v>
      </c>
      <c r="H60" t="s">
        <v>70</v>
      </c>
      <c r="I60" t="s">
        <v>687</v>
      </c>
      <c r="J60" t="s">
        <v>688</v>
      </c>
      <c r="K60" t="s">
        <v>689</v>
      </c>
      <c r="L60" t="s">
        <v>690</v>
      </c>
      <c r="M60" t="s">
        <v>691</v>
      </c>
      <c r="N60" t="s">
        <v>692</v>
      </c>
      <c r="O60" t="s">
        <v>77</v>
      </c>
      <c r="P60" s="2">
        <f t="shared" si="0"/>
        <v>4.55</v>
      </c>
      <c r="Q60" t="s">
        <v>693</v>
      </c>
      <c r="R60" s="2">
        <f t="shared" si="1"/>
        <v>4.9686111111111106</v>
      </c>
      <c r="S60" t="s">
        <v>694</v>
      </c>
      <c r="T60">
        <v>2</v>
      </c>
      <c r="U60">
        <v>1</v>
      </c>
      <c r="V60" t="s">
        <v>80</v>
      </c>
      <c r="W60" t="s">
        <v>80</v>
      </c>
      <c r="X60" t="s">
        <v>81</v>
      </c>
      <c r="Y60" t="s">
        <v>82</v>
      </c>
      <c r="Z60" t="s">
        <v>82</v>
      </c>
      <c r="AA60" t="s">
        <v>83</v>
      </c>
      <c r="AB60" t="s">
        <v>84</v>
      </c>
      <c r="AC60" t="s">
        <v>82</v>
      </c>
      <c r="AD60" t="s">
        <v>85</v>
      </c>
      <c r="AE60" t="s">
        <v>82</v>
      </c>
      <c r="AF60" t="s">
        <v>695</v>
      </c>
      <c r="AG60" t="s">
        <v>87</v>
      </c>
      <c r="AH60" t="s">
        <v>696</v>
      </c>
      <c r="AI60" t="s">
        <v>697</v>
      </c>
      <c r="AJ60" t="s">
        <v>82</v>
      </c>
      <c r="AK60" t="s">
        <v>82</v>
      </c>
      <c r="AL60" t="s">
        <v>82</v>
      </c>
      <c r="AM60" t="s">
        <v>82</v>
      </c>
      <c r="AN60" t="s">
        <v>82</v>
      </c>
      <c r="AO60" t="s">
        <v>82</v>
      </c>
      <c r="AP60" t="s">
        <v>82</v>
      </c>
      <c r="AQ60" t="s">
        <v>82</v>
      </c>
      <c r="AR60" t="s">
        <v>698</v>
      </c>
      <c r="AS60" t="s">
        <v>88</v>
      </c>
      <c r="AT60" t="s">
        <v>696</v>
      </c>
      <c r="AU60" t="s">
        <v>6</v>
      </c>
      <c r="AV60" t="s">
        <v>90</v>
      </c>
      <c r="AW60" t="s">
        <v>90</v>
      </c>
      <c r="AX60" t="s">
        <v>82</v>
      </c>
      <c r="AY60" t="s">
        <v>82</v>
      </c>
      <c r="AZ60" t="s">
        <v>90</v>
      </c>
      <c r="BA60" t="s">
        <v>90</v>
      </c>
      <c r="BB60" t="s">
        <v>90</v>
      </c>
      <c r="BC60" t="s">
        <v>90</v>
      </c>
      <c r="BD60" t="s">
        <v>82</v>
      </c>
      <c r="BE60" t="s">
        <v>90</v>
      </c>
      <c r="BF60" t="s">
        <v>82</v>
      </c>
      <c r="BG60" t="s">
        <v>82</v>
      </c>
      <c r="BH60" t="s">
        <v>82</v>
      </c>
      <c r="BI60" t="s">
        <v>82</v>
      </c>
      <c r="BJ60" t="s">
        <v>82</v>
      </c>
      <c r="BK60" t="s">
        <v>82</v>
      </c>
      <c r="BL60" t="s">
        <v>90</v>
      </c>
      <c r="BM60" t="s">
        <v>699</v>
      </c>
      <c r="BN60" t="s">
        <v>700</v>
      </c>
    </row>
    <row r="61" spans="1:66" x14ac:dyDescent="0.35">
      <c r="A61">
        <v>188289</v>
      </c>
      <c r="B61" t="s">
        <v>701</v>
      </c>
      <c r="C61" t="s">
        <v>65</v>
      </c>
      <c r="D61" t="s">
        <v>66</v>
      </c>
      <c r="E61" t="s">
        <v>67</v>
      </c>
      <c r="F61" t="s">
        <v>187</v>
      </c>
      <c r="G61" t="s">
        <v>69</v>
      </c>
      <c r="H61" t="s">
        <v>70</v>
      </c>
      <c r="I61" t="s">
        <v>702</v>
      </c>
      <c r="J61" t="s">
        <v>703</v>
      </c>
      <c r="K61" t="s">
        <v>704</v>
      </c>
      <c r="L61" t="s">
        <v>705</v>
      </c>
      <c r="M61" t="s">
        <v>706</v>
      </c>
      <c r="N61" t="s">
        <v>707</v>
      </c>
      <c r="O61" t="s">
        <v>77</v>
      </c>
      <c r="P61" s="2">
        <f t="shared" si="0"/>
        <v>252.49999999999997</v>
      </c>
      <c r="Q61" t="s">
        <v>708</v>
      </c>
      <c r="R61" s="2">
        <f t="shared" si="1"/>
        <v>9.5902777777777786</v>
      </c>
      <c r="S61" t="s">
        <v>709</v>
      </c>
      <c r="T61">
        <v>3</v>
      </c>
      <c r="U61">
        <v>5</v>
      </c>
      <c r="V61" t="s">
        <v>80</v>
      </c>
      <c r="W61" t="s">
        <v>80</v>
      </c>
      <c r="X61" t="s">
        <v>81</v>
      </c>
      <c r="Y61" t="s">
        <v>82</v>
      </c>
      <c r="Z61" t="s">
        <v>82</v>
      </c>
      <c r="AA61" t="s">
        <v>83</v>
      </c>
      <c r="AB61" t="s">
        <v>84</v>
      </c>
      <c r="AC61" t="s">
        <v>82</v>
      </c>
      <c r="AD61" t="s">
        <v>85</v>
      </c>
      <c r="AE61" t="s">
        <v>710</v>
      </c>
      <c r="AF61" t="s">
        <v>82</v>
      </c>
      <c r="AG61" t="s">
        <v>87</v>
      </c>
      <c r="AH61" t="s">
        <v>711</v>
      </c>
      <c r="AI61" t="s">
        <v>712</v>
      </c>
      <c r="AJ61" t="s">
        <v>82</v>
      </c>
      <c r="AK61" t="s">
        <v>82</v>
      </c>
      <c r="AL61" t="s">
        <v>82</v>
      </c>
      <c r="AM61" t="s">
        <v>82</v>
      </c>
      <c r="AN61" t="s">
        <v>82</v>
      </c>
      <c r="AO61" t="s">
        <v>82</v>
      </c>
      <c r="AP61" t="s">
        <v>82</v>
      </c>
      <c r="AQ61" t="s">
        <v>82</v>
      </c>
      <c r="AR61" t="s">
        <v>698</v>
      </c>
      <c r="AS61" t="s">
        <v>88</v>
      </c>
      <c r="AT61" t="s">
        <v>713</v>
      </c>
      <c r="AU61" t="s">
        <v>6</v>
      </c>
      <c r="AV61" t="s">
        <v>90</v>
      </c>
      <c r="AW61" t="s">
        <v>90</v>
      </c>
      <c r="AX61" t="s">
        <v>82</v>
      </c>
      <c r="AY61" t="s">
        <v>82</v>
      </c>
      <c r="AZ61" t="s">
        <v>90</v>
      </c>
      <c r="BA61" t="s">
        <v>90</v>
      </c>
      <c r="BB61" t="s">
        <v>90</v>
      </c>
      <c r="BC61" t="s">
        <v>90</v>
      </c>
      <c r="BD61" t="s">
        <v>82</v>
      </c>
      <c r="BE61" t="s">
        <v>90</v>
      </c>
      <c r="BF61" t="s">
        <v>82</v>
      </c>
      <c r="BG61" t="s">
        <v>82</v>
      </c>
      <c r="BH61" t="s">
        <v>82</v>
      </c>
      <c r="BI61" t="s">
        <v>82</v>
      </c>
      <c r="BJ61" t="s">
        <v>82</v>
      </c>
      <c r="BK61" t="s">
        <v>82</v>
      </c>
      <c r="BL61" t="s">
        <v>90</v>
      </c>
      <c r="BM61" t="s">
        <v>714</v>
      </c>
      <c r="BN61" t="s">
        <v>715</v>
      </c>
    </row>
    <row r="62" spans="1:66" x14ac:dyDescent="0.35">
      <c r="A62">
        <v>188334</v>
      </c>
      <c r="B62" t="s">
        <v>716</v>
      </c>
      <c r="C62" t="s">
        <v>65</v>
      </c>
      <c r="D62" t="s">
        <v>717</v>
      </c>
      <c r="E62" t="s">
        <v>95</v>
      </c>
      <c r="F62" t="s">
        <v>187</v>
      </c>
      <c r="G62" t="s">
        <v>69</v>
      </c>
      <c r="H62" t="s">
        <v>70</v>
      </c>
      <c r="I62" t="s">
        <v>718</v>
      </c>
      <c r="J62" t="s">
        <v>719</v>
      </c>
      <c r="K62" t="s">
        <v>720</v>
      </c>
      <c r="L62" t="s">
        <v>721</v>
      </c>
      <c r="M62" t="s">
        <v>722</v>
      </c>
      <c r="N62" t="s">
        <v>723</v>
      </c>
      <c r="O62" t="s">
        <v>77</v>
      </c>
      <c r="P62" s="2">
        <f t="shared" si="0"/>
        <v>27.566666666666666</v>
      </c>
      <c r="Q62" t="s">
        <v>724</v>
      </c>
      <c r="R62" s="2">
        <f t="shared" si="1"/>
        <v>62.99861111111111</v>
      </c>
      <c r="S62" t="s">
        <v>725</v>
      </c>
      <c r="T62">
        <v>8</v>
      </c>
      <c r="U62">
        <v>4</v>
      </c>
      <c r="V62" t="s">
        <v>80</v>
      </c>
      <c r="W62" t="s">
        <v>80</v>
      </c>
      <c r="X62" t="s">
        <v>81</v>
      </c>
      <c r="Y62" t="s">
        <v>82</v>
      </c>
      <c r="Z62" t="s">
        <v>82</v>
      </c>
      <c r="AA62" t="s">
        <v>83</v>
      </c>
      <c r="AB62" t="s">
        <v>84</v>
      </c>
      <c r="AC62" t="s">
        <v>82</v>
      </c>
      <c r="AD62" t="s">
        <v>220</v>
      </c>
      <c r="AE62" t="s">
        <v>726</v>
      </c>
      <c r="AF62" t="s">
        <v>727</v>
      </c>
      <c r="AG62" t="s">
        <v>87</v>
      </c>
      <c r="AH62" t="s">
        <v>728</v>
      </c>
      <c r="AI62" t="s">
        <v>729</v>
      </c>
      <c r="AJ62" t="s">
        <v>82</v>
      </c>
      <c r="AK62" t="s">
        <v>82</v>
      </c>
      <c r="AL62" t="s">
        <v>82</v>
      </c>
      <c r="AM62" t="s">
        <v>82</v>
      </c>
      <c r="AN62" t="s">
        <v>82</v>
      </c>
      <c r="AO62" t="s">
        <v>82</v>
      </c>
      <c r="AP62" t="s">
        <v>82</v>
      </c>
      <c r="AQ62" t="s">
        <v>82</v>
      </c>
      <c r="AR62" t="s">
        <v>655</v>
      </c>
      <c r="AS62" t="s">
        <v>88</v>
      </c>
      <c r="AT62" t="s">
        <v>730</v>
      </c>
      <c r="AU62" t="s">
        <v>6</v>
      </c>
      <c r="AV62" t="s">
        <v>90</v>
      </c>
      <c r="AW62" t="s">
        <v>90</v>
      </c>
      <c r="AX62" t="s">
        <v>82</v>
      </c>
      <c r="AY62" t="s">
        <v>82</v>
      </c>
      <c r="AZ62" t="s">
        <v>90</v>
      </c>
      <c r="BA62" t="s">
        <v>90</v>
      </c>
      <c r="BB62" t="s">
        <v>90</v>
      </c>
      <c r="BC62" t="s">
        <v>90</v>
      </c>
      <c r="BD62" t="s">
        <v>82</v>
      </c>
      <c r="BE62" t="s">
        <v>90</v>
      </c>
      <c r="BF62" t="s">
        <v>82</v>
      </c>
      <c r="BG62" t="s">
        <v>82</v>
      </c>
      <c r="BH62" t="s">
        <v>82</v>
      </c>
      <c r="BI62" t="s">
        <v>82</v>
      </c>
      <c r="BJ62" t="s">
        <v>82</v>
      </c>
      <c r="BK62" t="s">
        <v>82</v>
      </c>
      <c r="BL62" t="s">
        <v>90</v>
      </c>
      <c r="BM62" t="s">
        <v>731</v>
      </c>
      <c r="BN62" t="s">
        <v>732</v>
      </c>
    </row>
    <row r="63" spans="1:66" x14ac:dyDescent="0.35">
      <c r="A63">
        <v>188731</v>
      </c>
      <c r="B63" t="s">
        <v>343</v>
      </c>
      <c r="C63" t="s">
        <v>65</v>
      </c>
      <c r="D63" t="s">
        <v>66</v>
      </c>
      <c r="E63" t="s">
        <v>67</v>
      </c>
      <c r="F63" t="s">
        <v>123</v>
      </c>
      <c r="G63" t="s">
        <v>69</v>
      </c>
      <c r="H63" t="s">
        <v>70</v>
      </c>
      <c r="I63" t="s">
        <v>733</v>
      </c>
      <c r="J63" t="s">
        <v>734</v>
      </c>
      <c r="K63" t="s">
        <v>735</v>
      </c>
      <c r="L63" t="s">
        <v>735</v>
      </c>
      <c r="M63" t="s">
        <v>736</v>
      </c>
      <c r="N63" t="s">
        <v>82</v>
      </c>
      <c r="O63" t="s">
        <v>77</v>
      </c>
      <c r="P63" s="2">
        <f t="shared" si="0"/>
        <v>0</v>
      </c>
      <c r="Q63" t="s">
        <v>78</v>
      </c>
      <c r="R63" s="2">
        <f t="shared" si="1"/>
        <v>5.7777777777777782E-2</v>
      </c>
      <c r="S63" t="s">
        <v>737</v>
      </c>
      <c r="T63">
        <v>0</v>
      </c>
      <c r="U63">
        <v>1</v>
      </c>
      <c r="V63" t="s">
        <v>80</v>
      </c>
      <c r="W63" t="s">
        <v>82</v>
      </c>
      <c r="X63" t="s">
        <v>81</v>
      </c>
      <c r="Y63" t="s">
        <v>82</v>
      </c>
      <c r="Z63" t="s">
        <v>82</v>
      </c>
      <c r="AA63" t="s">
        <v>83</v>
      </c>
      <c r="AB63" t="s">
        <v>84</v>
      </c>
      <c r="AC63" t="s">
        <v>82</v>
      </c>
      <c r="AD63" t="s">
        <v>85</v>
      </c>
      <c r="AE63" t="s">
        <v>82</v>
      </c>
      <c r="AF63" t="s">
        <v>82</v>
      </c>
      <c r="AG63" t="s">
        <v>87</v>
      </c>
      <c r="AH63" t="s">
        <v>82</v>
      </c>
      <c r="AI63" t="s">
        <v>129</v>
      </c>
      <c r="AJ63" t="s">
        <v>82</v>
      </c>
      <c r="AK63" t="s">
        <v>82</v>
      </c>
      <c r="AL63" t="s">
        <v>82</v>
      </c>
      <c r="AM63" t="s">
        <v>82</v>
      </c>
      <c r="AN63" t="s">
        <v>82</v>
      </c>
      <c r="AO63" t="s">
        <v>82</v>
      </c>
      <c r="AP63" t="s">
        <v>82</v>
      </c>
      <c r="AQ63" t="s">
        <v>82</v>
      </c>
      <c r="AR63" t="s">
        <v>82</v>
      </c>
      <c r="AS63" t="s">
        <v>130</v>
      </c>
      <c r="AT63" t="s">
        <v>129</v>
      </c>
      <c r="AU63" t="s">
        <v>82</v>
      </c>
      <c r="AV63" t="s">
        <v>90</v>
      </c>
      <c r="AW63" t="s">
        <v>90</v>
      </c>
      <c r="AX63" t="s">
        <v>82</v>
      </c>
      <c r="AY63" t="s">
        <v>82</v>
      </c>
      <c r="AZ63" t="s">
        <v>90</v>
      </c>
      <c r="BA63" t="s">
        <v>90</v>
      </c>
      <c r="BB63" t="s">
        <v>90</v>
      </c>
      <c r="BC63" t="s">
        <v>90</v>
      </c>
      <c r="BD63" t="s">
        <v>82</v>
      </c>
      <c r="BE63" t="s">
        <v>90</v>
      </c>
      <c r="BF63" t="s">
        <v>82</v>
      </c>
      <c r="BG63" t="s">
        <v>82</v>
      </c>
      <c r="BH63" t="s">
        <v>82</v>
      </c>
      <c r="BI63" t="s">
        <v>82</v>
      </c>
      <c r="BJ63" t="s">
        <v>82</v>
      </c>
      <c r="BK63" t="s">
        <v>82</v>
      </c>
      <c r="BL63" t="s">
        <v>90</v>
      </c>
      <c r="BM63" t="s">
        <v>139</v>
      </c>
      <c r="BN63" t="s">
        <v>738</v>
      </c>
    </row>
    <row r="64" spans="1:66" x14ac:dyDescent="0.35">
      <c r="A64">
        <v>188831</v>
      </c>
      <c r="B64" t="s">
        <v>739</v>
      </c>
      <c r="C64" t="s">
        <v>65</v>
      </c>
      <c r="D64" t="s">
        <v>66</v>
      </c>
      <c r="E64" t="s">
        <v>67</v>
      </c>
      <c r="F64" t="s">
        <v>68</v>
      </c>
      <c r="G64" t="s">
        <v>69</v>
      </c>
      <c r="H64" t="s">
        <v>70</v>
      </c>
      <c r="I64" t="s">
        <v>740</v>
      </c>
      <c r="J64" t="s">
        <v>741</v>
      </c>
      <c r="K64" t="s">
        <v>742</v>
      </c>
      <c r="L64" t="s">
        <v>743</v>
      </c>
      <c r="M64" t="s">
        <v>744</v>
      </c>
      <c r="N64" t="s">
        <v>745</v>
      </c>
      <c r="O64" t="s">
        <v>77</v>
      </c>
      <c r="P64" s="2">
        <f t="shared" si="0"/>
        <v>22.383333333333329</v>
      </c>
      <c r="Q64" t="s">
        <v>746</v>
      </c>
      <c r="R64" s="2">
        <f t="shared" si="1"/>
        <v>8.4700000000000006</v>
      </c>
      <c r="S64" t="s">
        <v>747</v>
      </c>
      <c r="T64">
        <v>3</v>
      </c>
      <c r="U64">
        <v>2</v>
      </c>
      <c r="V64" t="s">
        <v>80</v>
      </c>
      <c r="W64" t="s">
        <v>80</v>
      </c>
      <c r="X64" t="s">
        <v>81</v>
      </c>
      <c r="Y64" t="s">
        <v>82</v>
      </c>
      <c r="Z64" t="s">
        <v>82</v>
      </c>
      <c r="AA64" t="s">
        <v>83</v>
      </c>
      <c r="AB64" t="s">
        <v>84</v>
      </c>
      <c r="AC64" t="s">
        <v>82</v>
      </c>
      <c r="AD64" t="s">
        <v>85</v>
      </c>
      <c r="AE64" t="s">
        <v>89</v>
      </c>
      <c r="AF64" t="s">
        <v>82</v>
      </c>
      <c r="AG64" t="s">
        <v>87</v>
      </c>
      <c r="AH64" t="s">
        <v>89</v>
      </c>
      <c r="AI64" t="s">
        <v>86</v>
      </c>
      <c r="AJ64" t="s">
        <v>82</v>
      </c>
      <c r="AK64" t="s">
        <v>82</v>
      </c>
      <c r="AL64" t="s">
        <v>82</v>
      </c>
      <c r="AM64" t="s">
        <v>82</v>
      </c>
      <c r="AN64" t="s">
        <v>82</v>
      </c>
      <c r="AO64" t="s">
        <v>82</v>
      </c>
      <c r="AP64" t="s">
        <v>82</v>
      </c>
      <c r="AQ64" t="s">
        <v>82</v>
      </c>
      <c r="AR64" t="s">
        <v>82</v>
      </c>
      <c r="AS64" t="s">
        <v>88</v>
      </c>
      <c r="AT64" t="s">
        <v>89</v>
      </c>
      <c r="AU64" t="s">
        <v>6</v>
      </c>
      <c r="AV64" t="s">
        <v>90</v>
      </c>
      <c r="AW64" t="s">
        <v>90</v>
      </c>
      <c r="AX64" t="s">
        <v>82</v>
      </c>
      <c r="AY64" t="s">
        <v>82</v>
      </c>
      <c r="AZ64" t="s">
        <v>90</v>
      </c>
      <c r="BA64" t="s">
        <v>90</v>
      </c>
      <c r="BB64" t="s">
        <v>90</v>
      </c>
      <c r="BC64" t="s">
        <v>90</v>
      </c>
      <c r="BD64" t="s">
        <v>82</v>
      </c>
      <c r="BE64" t="s">
        <v>90</v>
      </c>
      <c r="BF64" t="s">
        <v>82</v>
      </c>
      <c r="BG64" t="s">
        <v>82</v>
      </c>
      <c r="BH64" t="s">
        <v>82</v>
      </c>
      <c r="BI64" t="s">
        <v>82</v>
      </c>
      <c r="BJ64" t="s">
        <v>82</v>
      </c>
      <c r="BK64" t="s">
        <v>82</v>
      </c>
      <c r="BL64" t="s">
        <v>90</v>
      </c>
      <c r="BM64" t="s">
        <v>748</v>
      </c>
      <c r="BN64" t="s">
        <v>749</v>
      </c>
    </row>
    <row r="65" spans="1:66" x14ac:dyDescent="0.35">
      <c r="A65">
        <v>189066</v>
      </c>
      <c r="B65" t="s">
        <v>750</v>
      </c>
      <c r="C65" t="s">
        <v>65</v>
      </c>
      <c r="D65" t="s">
        <v>66</v>
      </c>
      <c r="E65" t="s">
        <v>67</v>
      </c>
      <c r="F65" t="s">
        <v>82</v>
      </c>
      <c r="G65" t="s">
        <v>69</v>
      </c>
      <c r="H65" t="s">
        <v>70</v>
      </c>
      <c r="I65" t="s">
        <v>751</v>
      </c>
      <c r="J65" t="s">
        <v>752</v>
      </c>
      <c r="K65" t="s">
        <v>753</v>
      </c>
      <c r="L65" t="s">
        <v>754</v>
      </c>
      <c r="M65" t="s">
        <v>755</v>
      </c>
      <c r="N65" t="s">
        <v>756</v>
      </c>
      <c r="O65" t="s">
        <v>77</v>
      </c>
      <c r="P65" s="2">
        <f t="shared" si="0"/>
        <v>25.716666666666665</v>
      </c>
      <c r="Q65" t="s">
        <v>757</v>
      </c>
      <c r="R65" s="2">
        <f t="shared" si="1"/>
        <v>29.328888888888891</v>
      </c>
      <c r="S65" t="s">
        <v>758</v>
      </c>
      <c r="T65">
        <v>3</v>
      </c>
      <c r="U65">
        <v>3</v>
      </c>
      <c r="V65" t="s">
        <v>80</v>
      </c>
      <c r="W65" t="s">
        <v>80</v>
      </c>
      <c r="X65" t="s">
        <v>81</v>
      </c>
      <c r="Y65" t="s">
        <v>82</v>
      </c>
      <c r="Z65" t="s">
        <v>82</v>
      </c>
      <c r="AA65" t="s">
        <v>83</v>
      </c>
      <c r="AB65" t="s">
        <v>84</v>
      </c>
      <c r="AC65" t="s">
        <v>82</v>
      </c>
      <c r="AD65" t="s">
        <v>85</v>
      </c>
      <c r="AE65" t="s">
        <v>759</v>
      </c>
      <c r="AF65" t="s">
        <v>82</v>
      </c>
      <c r="AG65" t="s">
        <v>87</v>
      </c>
      <c r="AH65" t="s">
        <v>760</v>
      </c>
      <c r="AI65" t="s">
        <v>761</v>
      </c>
      <c r="AJ65" t="s">
        <v>82</v>
      </c>
      <c r="AK65" t="s">
        <v>82</v>
      </c>
      <c r="AL65" t="s">
        <v>82</v>
      </c>
      <c r="AM65" t="s">
        <v>82</v>
      </c>
      <c r="AN65" t="s">
        <v>82</v>
      </c>
      <c r="AO65" t="s">
        <v>82</v>
      </c>
      <c r="AP65" t="s">
        <v>82</v>
      </c>
      <c r="AQ65" t="s">
        <v>82</v>
      </c>
      <c r="AR65" t="s">
        <v>82</v>
      </c>
      <c r="AS65" t="s">
        <v>88</v>
      </c>
      <c r="AT65" t="s">
        <v>759</v>
      </c>
      <c r="AU65" t="s">
        <v>6</v>
      </c>
      <c r="AV65" t="s">
        <v>90</v>
      </c>
      <c r="AW65" t="s">
        <v>91</v>
      </c>
      <c r="AX65" t="s">
        <v>82</v>
      </c>
      <c r="AY65" t="s">
        <v>82</v>
      </c>
      <c r="AZ65" t="s">
        <v>90</v>
      </c>
      <c r="BA65" t="s">
        <v>90</v>
      </c>
      <c r="BB65" t="s">
        <v>91</v>
      </c>
      <c r="BC65" t="s">
        <v>91</v>
      </c>
      <c r="BD65" t="s">
        <v>82</v>
      </c>
      <c r="BE65" t="s">
        <v>90</v>
      </c>
      <c r="BF65" t="s">
        <v>82</v>
      </c>
      <c r="BG65" t="s">
        <v>82</v>
      </c>
      <c r="BH65" t="s">
        <v>82</v>
      </c>
      <c r="BI65" t="s">
        <v>82</v>
      </c>
      <c r="BJ65" t="s">
        <v>82</v>
      </c>
      <c r="BK65" t="s">
        <v>82</v>
      </c>
      <c r="BL65" t="s">
        <v>90</v>
      </c>
      <c r="BM65" t="s">
        <v>762</v>
      </c>
      <c r="BN65" t="s">
        <v>763</v>
      </c>
    </row>
    <row r="66" spans="1:66" x14ac:dyDescent="0.35">
      <c r="A66">
        <v>189089</v>
      </c>
      <c r="B66" t="s">
        <v>764</v>
      </c>
      <c r="C66" t="s">
        <v>65</v>
      </c>
      <c r="D66" t="s">
        <v>66</v>
      </c>
      <c r="E66" t="s">
        <v>67</v>
      </c>
      <c r="F66" t="s">
        <v>123</v>
      </c>
      <c r="G66" t="s">
        <v>69</v>
      </c>
      <c r="H66" t="s">
        <v>70</v>
      </c>
      <c r="I66" t="s">
        <v>765</v>
      </c>
      <c r="J66" t="s">
        <v>766</v>
      </c>
      <c r="K66" t="s">
        <v>767</v>
      </c>
      <c r="L66" t="s">
        <v>767</v>
      </c>
      <c r="M66" t="s">
        <v>768</v>
      </c>
      <c r="N66" t="s">
        <v>82</v>
      </c>
      <c r="O66" t="s">
        <v>77</v>
      </c>
      <c r="P66" s="2">
        <f t="shared" si="0"/>
        <v>0</v>
      </c>
      <c r="Q66" t="s">
        <v>78</v>
      </c>
      <c r="R66" s="2">
        <f t="shared" si="1"/>
        <v>2.222222222222222E-2</v>
      </c>
      <c r="S66" t="s">
        <v>769</v>
      </c>
      <c r="T66">
        <v>0</v>
      </c>
      <c r="U66">
        <v>1</v>
      </c>
      <c r="V66" t="s">
        <v>80</v>
      </c>
      <c r="W66" t="s">
        <v>82</v>
      </c>
      <c r="X66" t="s">
        <v>81</v>
      </c>
      <c r="Y66" t="s">
        <v>82</v>
      </c>
      <c r="Z66" t="s">
        <v>82</v>
      </c>
      <c r="AA66" t="s">
        <v>83</v>
      </c>
      <c r="AB66" t="s">
        <v>84</v>
      </c>
      <c r="AC66" t="s">
        <v>82</v>
      </c>
      <c r="AD66" t="s">
        <v>85</v>
      </c>
      <c r="AE66" t="s">
        <v>82</v>
      </c>
      <c r="AF66" t="s">
        <v>82</v>
      </c>
      <c r="AG66" t="s">
        <v>87</v>
      </c>
      <c r="AH66" t="s">
        <v>82</v>
      </c>
      <c r="AI66" t="s">
        <v>129</v>
      </c>
      <c r="AJ66" t="s">
        <v>82</v>
      </c>
      <c r="AK66" t="s">
        <v>82</v>
      </c>
      <c r="AL66" t="s">
        <v>82</v>
      </c>
      <c r="AM66" t="s">
        <v>82</v>
      </c>
      <c r="AN66" t="s">
        <v>82</v>
      </c>
      <c r="AO66" t="s">
        <v>82</v>
      </c>
      <c r="AP66" t="s">
        <v>82</v>
      </c>
      <c r="AQ66" t="s">
        <v>82</v>
      </c>
      <c r="AR66" t="s">
        <v>82</v>
      </c>
      <c r="AS66" t="s">
        <v>130</v>
      </c>
      <c r="AT66" t="s">
        <v>129</v>
      </c>
      <c r="AU66" t="s">
        <v>82</v>
      </c>
      <c r="AV66" t="s">
        <v>90</v>
      </c>
      <c r="AW66" t="s">
        <v>90</v>
      </c>
      <c r="AX66" t="s">
        <v>82</v>
      </c>
      <c r="AY66" t="s">
        <v>82</v>
      </c>
      <c r="AZ66" t="s">
        <v>90</v>
      </c>
      <c r="BA66" t="s">
        <v>90</v>
      </c>
      <c r="BB66" t="s">
        <v>90</v>
      </c>
      <c r="BC66" t="s">
        <v>90</v>
      </c>
      <c r="BD66" t="s">
        <v>82</v>
      </c>
      <c r="BE66" t="s">
        <v>90</v>
      </c>
      <c r="BF66" t="s">
        <v>82</v>
      </c>
      <c r="BG66" t="s">
        <v>82</v>
      </c>
      <c r="BH66" t="s">
        <v>82</v>
      </c>
      <c r="BI66" t="s">
        <v>82</v>
      </c>
      <c r="BJ66" t="s">
        <v>82</v>
      </c>
      <c r="BK66" t="s">
        <v>82</v>
      </c>
      <c r="BL66" t="s">
        <v>90</v>
      </c>
      <c r="BM66" t="s">
        <v>770</v>
      </c>
      <c r="BN66" t="s">
        <v>771</v>
      </c>
    </row>
    <row r="67" spans="1:66" x14ac:dyDescent="0.35">
      <c r="A67">
        <v>189137</v>
      </c>
      <c r="B67" t="s">
        <v>301</v>
      </c>
      <c r="C67" t="s">
        <v>65</v>
      </c>
      <c r="D67" t="s">
        <v>66</v>
      </c>
      <c r="E67" t="s">
        <v>67</v>
      </c>
      <c r="F67" t="s">
        <v>123</v>
      </c>
      <c r="G67" t="s">
        <v>69</v>
      </c>
      <c r="H67" t="s">
        <v>70</v>
      </c>
      <c r="I67" t="s">
        <v>772</v>
      </c>
      <c r="J67" t="s">
        <v>773</v>
      </c>
      <c r="K67" t="s">
        <v>774</v>
      </c>
      <c r="L67" t="s">
        <v>774</v>
      </c>
      <c r="M67" t="s">
        <v>775</v>
      </c>
      <c r="N67" t="s">
        <v>82</v>
      </c>
      <c r="O67" t="s">
        <v>77</v>
      </c>
      <c r="P67" s="2">
        <f t="shared" ref="P67:P130" si="2">Q67*1440</f>
        <v>0</v>
      </c>
      <c r="Q67" t="s">
        <v>78</v>
      </c>
      <c r="R67" s="2">
        <f t="shared" ref="R67:R130" si="3">S67*24</f>
        <v>8.3888888888888888E-2</v>
      </c>
      <c r="S67" t="s">
        <v>776</v>
      </c>
      <c r="T67">
        <v>0</v>
      </c>
      <c r="U67">
        <v>1</v>
      </c>
      <c r="V67" t="s">
        <v>80</v>
      </c>
      <c r="W67" t="s">
        <v>82</v>
      </c>
      <c r="X67" t="s">
        <v>81</v>
      </c>
      <c r="Y67" t="s">
        <v>82</v>
      </c>
      <c r="Z67" t="s">
        <v>82</v>
      </c>
      <c r="AA67" t="s">
        <v>83</v>
      </c>
      <c r="AB67" t="s">
        <v>84</v>
      </c>
      <c r="AC67" t="s">
        <v>82</v>
      </c>
      <c r="AD67" t="s">
        <v>85</v>
      </c>
      <c r="AE67" t="s">
        <v>82</v>
      </c>
      <c r="AF67" t="s">
        <v>82</v>
      </c>
      <c r="AG67" t="s">
        <v>87</v>
      </c>
      <c r="AH67" t="s">
        <v>82</v>
      </c>
      <c r="AI67" t="s">
        <v>129</v>
      </c>
      <c r="AJ67" t="s">
        <v>82</v>
      </c>
      <c r="AK67" t="s">
        <v>82</v>
      </c>
      <c r="AL67" t="s">
        <v>82</v>
      </c>
      <c r="AM67" t="s">
        <v>82</v>
      </c>
      <c r="AN67" t="s">
        <v>82</v>
      </c>
      <c r="AO67" t="s">
        <v>82</v>
      </c>
      <c r="AP67" t="s">
        <v>82</v>
      </c>
      <c r="AQ67" t="s">
        <v>82</v>
      </c>
      <c r="AR67" t="s">
        <v>82</v>
      </c>
      <c r="AS67" t="s">
        <v>130</v>
      </c>
      <c r="AT67" t="s">
        <v>129</v>
      </c>
      <c r="AU67" t="s">
        <v>82</v>
      </c>
      <c r="AV67" t="s">
        <v>90</v>
      </c>
      <c r="AW67" t="s">
        <v>90</v>
      </c>
      <c r="AX67" t="s">
        <v>82</v>
      </c>
      <c r="AY67" t="s">
        <v>82</v>
      </c>
      <c r="AZ67" t="s">
        <v>90</v>
      </c>
      <c r="BA67" t="s">
        <v>90</v>
      </c>
      <c r="BB67" t="s">
        <v>90</v>
      </c>
      <c r="BC67" t="s">
        <v>90</v>
      </c>
      <c r="BD67" t="s">
        <v>82</v>
      </c>
      <c r="BE67" t="s">
        <v>90</v>
      </c>
      <c r="BF67" t="s">
        <v>82</v>
      </c>
      <c r="BG67" t="s">
        <v>82</v>
      </c>
      <c r="BH67" t="s">
        <v>82</v>
      </c>
      <c r="BI67" t="s">
        <v>82</v>
      </c>
      <c r="BJ67" t="s">
        <v>82</v>
      </c>
      <c r="BK67" t="s">
        <v>82</v>
      </c>
      <c r="BL67" t="s">
        <v>90</v>
      </c>
      <c r="BM67" t="s">
        <v>139</v>
      </c>
      <c r="BN67" t="s">
        <v>777</v>
      </c>
    </row>
    <row r="68" spans="1:66" x14ac:dyDescent="0.35">
      <c r="A68">
        <v>189847</v>
      </c>
      <c r="B68" t="s">
        <v>778</v>
      </c>
      <c r="C68" t="s">
        <v>65</v>
      </c>
      <c r="D68" t="s">
        <v>66</v>
      </c>
      <c r="E68" t="s">
        <v>67</v>
      </c>
      <c r="F68" t="s">
        <v>123</v>
      </c>
      <c r="G68" t="s">
        <v>69</v>
      </c>
      <c r="H68" t="s">
        <v>70</v>
      </c>
      <c r="I68" t="s">
        <v>779</v>
      </c>
      <c r="J68" t="s">
        <v>780</v>
      </c>
      <c r="K68" t="s">
        <v>781</v>
      </c>
      <c r="L68" t="s">
        <v>781</v>
      </c>
      <c r="M68" t="s">
        <v>782</v>
      </c>
      <c r="N68" t="s">
        <v>82</v>
      </c>
      <c r="O68" t="s">
        <v>77</v>
      </c>
      <c r="P68" s="2">
        <f t="shared" si="2"/>
        <v>0</v>
      </c>
      <c r="Q68" t="s">
        <v>78</v>
      </c>
      <c r="R68" s="2">
        <f t="shared" si="3"/>
        <v>0.70361111111111119</v>
      </c>
      <c r="S68" t="s">
        <v>783</v>
      </c>
      <c r="T68">
        <v>0</v>
      </c>
      <c r="U68">
        <v>1</v>
      </c>
      <c r="V68" t="s">
        <v>80</v>
      </c>
      <c r="W68" t="s">
        <v>82</v>
      </c>
      <c r="X68" t="s">
        <v>81</v>
      </c>
      <c r="Y68" t="s">
        <v>82</v>
      </c>
      <c r="Z68" t="s">
        <v>82</v>
      </c>
      <c r="AA68" t="s">
        <v>83</v>
      </c>
      <c r="AB68" t="s">
        <v>84</v>
      </c>
      <c r="AC68" t="s">
        <v>82</v>
      </c>
      <c r="AD68" t="s">
        <v>85</v>
      </c>
      <c r="AE68" t="s">
        <v>82</v>
      </c>
      <c r="AF68" t="s">
        <v>82</v>
      </c>
      <c r="AG68" t="s">
        <v>87</v>
      </c>
      <c r="AH68" t="s">
        <v>82</v>
      </c>
      <c r="AI68" t="s">
        <v>129</v>
      </c>
      <c r="AJ68" t="s">
        <v>82</v>
      </c>
      <c r="AK68" t="s">
        <v>82</v>
      </c>
      <c r="AL68" t="s">
        <v>82</v>
      </c>
      <c r="AM68" t="s">
        <v>82</v>
      </c>
      <c r="AN68" t="s">
        <v>82</v>
      </c>
      <c r="AO68" t="s">
        <v>82</v>
      </c>
      <c r="AP68" t="s">
        <v>82</v>
      </c>
      <c r="AQ68" t="s">
        <v>82</v>
      </c>
      <c r="AR68" t="s">
        <v>82</v>
      </c>
      <c r="AS68" t="s">
        <v>130</v>
      </c>
      <c r="AT68" t="s">
        <v>129</v>
      </c>
      <c r="AU68" t="s">
        <v>82</v>
      </c>
      <c r="AV68" t="s">
        <v>90</v>
      </c>
      <c r="AW68" t="s">
        <v>90</v>
      </c>
      <c r="AX68" t="s">
        <v>82</v>
      </c>
      <c r="AY68" t="s">
        <v>82</v>
      </c>
      <c r="AZ68" t="s">
        <v>90</v>
      </c>
      <c r="BA68" t="s">
        <v>90</v>
      </c>
      <c r="BB68" t="s">
        <v>90</v>
      </c>
      <c r="BC68" t="s">
        <v>90</v>
      </c>
      <c r="BD68" t="s">
        <v>82</v>
      </c>
      <c r="BE68" t="s">
        <v>90</v>
      </c>
      <c r="BF68" t="s">
        <v>82</v>
      </c>
      <c r="BG68" t="s">
        <v>82</v>
      </c>
      <c r="BH68" t="s">
        <v>82</v>
      </c>
      <c r="BI68" t="s">
        <v>82</v>
      </c>
      <c r="BJ68" t="s">
        <v>82</v>
      </c>
      <c r="BK68" t="s">
        <v>82</v>
      </c>
      <c r="BL68" t="s">
        <v>90</v>
      </c>
      <c r="BM68" t="s">
        <v>784</v>
      </c>
      <c r="BN68" t="s">
        <v>785</v>
      </c>
    </row>
    <row r="69" spans="1:66" x14ac:dyDescent="0.35">
      <c r="A69">
        <v>190203</v>
      </c>
      <c r="B69" t="s">
        <v>786</v>
      </c>
      <c r="C69" t="s">
        <v>65</v>
      </c>
      <c r="D69" t="s">
        <v>66</v>
      </c>
      <c r="E69" t="s">
        <v>67</v>
      </c>
      <c r="F69" t="s">
        <v>68</v>
      </c>
      <c r="G69" t="s">
        <v>69</v>
      </c>
      <c r="H69" t="s">
        <v>70</v>
      </c>
      <c r="I69" t="s">
        <v>787</v>
      </c>
      <c r="J69" t="s">
        <v>788</v>
      </c>
      <c r="K69" t="s">
        <v>789</v>
      </c>
      <c r="L69" t="s">
        <v>790</v>
      </c>
      <c r="M69" t="s">
        <v>791</v>
      </c>
      <c r="N69" t="s">
        <v>792</v>
      </c>
      <c r="O69" t="s">
        <v>77</v>
      </c>
      <c r="P69" s="2">
        <f t="shared" si="2"/>
        <v>38.666666666666664</v>
      </c>
      <c r="Q69" t="s">
        <v>793</v>
      </c>
      <c r="R69" s="2">
        <f t="shared" si="3"/>
        <v>106.75805555555556</v>
      </c>
      <c r="S69" t="s">
        <v>794</v>
      </c>
      <c r="T69">
        <v>5</v>
      </c>
      <c r="U69">
        <v>2</v>
      </c>
      <c r="V69" t="s">
        <v>80</v>
      </c>
      <c r="W69" t="s">
        <v>80</v>
      </c>
      <c r="X69" t="s">
        <v>81</v>
      </c>
      <c r="Y69" t="s">
        <v>82</v>
      </c>
      <c r="Z69" t="s">
        <v>82</v>
      </c>
      <c r="AA69" t="s">
        <v>83</v>
      </c>
      <c r="AB69" t="s">
        <v>84</v>
      </c>
      <c r="AC69" t="s">
        <v>82</v>
      </c>
      <c r="AD69" t="s">
        <v>85</v>
      </c>
      <c r="AE69" t="s">
        <v>795</v>
      </c>
      <c r="AF69" t="s">
        <v>82</v>
      </c>
      <c r="AG69" t="s">
        <v>87</v>
      </c>
      <c r="AH69" t="s">
        <v>796</v>
      </c>
      <c r="AI69" t="s">
        <v>797</v>
      </c>
      <c r="AJ69" t="s">
        <v>82</v>
      </c>
      <c r="AK69" t="s">
        <v>82</v>
      </c>
      <c r="AL69" t="s">
        <v>82</v>
      </c>
      <c r="AM69" t="s">
        <v>82</v>
      </c>
      <c r="AN69" t="s">
        <v>82</v>
      </c>
      <c r="AO69" t="s">
        <v>82</v>
      </c>
      <c r="AP69" t="s">
        <v>82</v>
      </c>
      <c r="AQ69" t="s">
        <v>82</v>
      </c>
      <c r="AR69" t="s">
        <v>82</v>
      </c>
      <c r="AS69" t="s">
        <v>88</v>
      </c>
      <c r="AT69" t="s">
        <v>796</v>
      </c>
      <c r="AU69" t="s">
        <v>6</v>
      </c>
      <c r="AV69" t="s">
        <v>90</v>
      </c>
      <c r="AW69" t="s">
        <v>91</v>
      </c>
      <c r="AX69" t="s">
        <v>82</v>
      </c>
      <c r="AY69" t="s">
        <v>82</v>
      </c>
      <c r="AZ69" t="s">
        <v>90</v>
      </c>
      <c r="BA69" t="s">
        <v>90</v>
      </c>
      <c r="BB69" t="s">
        <v>91</v>
      </c>
      <c r="BC69" t="s">
        <v>91</v>
      </c>
      <c r="BD69" t="s">
        <v>82</v>
      </c>
      <c r="BE69" t="s">
        <v>90</v>
      </c>
      <c r="BF69" t="s">
        <v>82</v>
      </c>
      <c r="BG69" t="s">
        <v>82</v>
      </c>
      <c r="BH69" t="s">
        <v>82</v>
      </c>
      <c r="BI69" t="s">
        <v>82</v>
      </c>
      <c r="BJ69" t="s">
        <v>82</v>
      </c>
      <c r="BK69" t="s">
        <v>82</v>
      </c>
      <c r="BL69" t="s">
        <v>90</v>
      </c>
      <c r="BM69" t="s">
        <v>798</v>
      </c>
      <c r="BN69" t="s">
        <v>799</v>
      </c>
    </row>
    <row r="70" spans="1:66" x14ac:dyDescent="0.35">
      <c r="A70">
        <v>190335</v>
      </c>
      <c r="B70" t="s">
        <v>523</v>
      </c>
      <c r="C70" t="s">
        <v>65</v>
      </c>
      <c r="D70" t="s">
        <v>66</v>
      </c>
      <c r="E70" t="s">
        <v>67</v>
      </c>
      <c r="F70" t="s">
        <v>123</v>
      </c>
      <c r="G70" t="s">
        <v>69</v>
      </c>
      <c r="H70" t="s">
        <v>70</v>
      </c>
      <c r="I70" t="s">
        <v>800</v>
      </c>
      <c r="J70" t="s">
        <v>801</v>
      </c>
      <c r="K70" t="s">
        <v>802</v>
      </c>
      <c r="L70" t="s">
        <v>802</v>
      </c>
      <c r="M70" t="s">
        <v>803</v>
      </c>
      <c r="N70" t="s">
        <v>82</v>
      </c>
      <c r="O70" t="s">
        <v>77</v>
      </c>
      <c r="P70" s="2">
        <f t="shared" si="2"/>
        <v>0</v>
      </c>
      <c r="Q70" t="s">
        <v>78</v>
      </c>
      <c r="R70" s="2">
        <f t="shared" si="3"/>
        <v>0.18916666666666665</v>
      </c>
      <c r="S70" t="s">
        <v>804</v>
      </c>
      <c r="T70">
        <v>0</v>
      </c>
      <c r="U70">
        <v>1</v>
      </c>
      <c r="V70" t="s">
        <v>80</v>
      </c>
      <c r="W70" t="s">
        <v>82</v>
      </c>
      <c r="X70" t="s">
        <v>81</v>
      </c>
      <c r="Y70" t="s">
        <v>82</v>
      </c>
      <c r="Z70" t="s">
        <v>82</v>
      </c>
      <c r="AA70" t="s">
        <v>83</v>
      </c>
      <c r="AB70" t="s">
        <v>84</v>
      </c>
      <c r="AC70" t="s">
        <v>82</v>
      </c>
      <c r="AD70" t="s">
        <v>85</v>
      </c>
      <c r="AE70" t="s">
        <v>82</v>
      </c>
      <c r="AF70" t="s">
        <v>82</v>
      </c>
      <c r="AG70" t="s">
        <v>87</v>
      </c>
      <c r="AH70" t="s">
        <v>82</v>
      </c>
      <c r="AI70" t="s">
        <v>129</v>
      </c>
      <c r="AJ70" t="s">
        <v>82</v>
      </c>
      <c r="AK70" t="s">
        <v>82</v>
      </c>
      <c r="AL70" t="s">
        <v>82</v>
      </c>
      <c r="AM70" t="s">
        <v>82</v>
      </c>
      <c r="AN70" t="s">
        <v>82</v>
      </c>
      <c r="AO70" t="s">
        <v>82</v>
      </c>
      <c r="AP70" t="s">
        <v>82</v>
      </c>
      <c r="AQ70" t="s">
        <v>82</v>
      </c>
      <c r="AR70" t="s">
        <v>82</v>
      </c>
      <c r="AS70" t="s">
        <v>130</v>
      </c>
      <c r="AT70" t="s">
        <v>129</v>
      </c>
      <c r="AU70" t="s">
        <v>82</v>
      </c>
      <c r="AV70" t="s">
        <v>90</v>
      </c>
      <c r="AW70" t="s">
        <v>90</v>
      </c>
      <c r="AX70" t="s">
        <v>82</v>
      </c>
      <c r="AY70" t="s">
        <v>82</v>
      </c>
      <c r="AZ70" t="s">
        <v>90</v>
      </c>
      <c r="BA70" t="s">
        <v>90</v>
      </c>
      <c r="BB70" t="s">
        <v>90</v>
      </c>
      <c r="BC70" t="s">
        <v>90</v>
      </c>
      <c r="BD70" t="s">
        <v>82</v>
      </c>
      <c r="BE70" t="s">
        <v>90</v>
      </c>
      <c r="BF70" t="s">
        <v>82</v>
      </c>
      <c r="BG70" t="s">
        <v>82</v>
      </c>
      <c r="BH70" t="s">
        <v>82</v>
      </c>
      <c r="BI70" t="s">
        <v>82</v>
      </c>
      <c r="BJ70" t="s">
        <v>82</v>
      </c>
      <c r="BK70" t="s">
        <v>82</v>
      </c>
      <c r="BL70" t="s">
        <v>90</v>
      </c>
      <c r="BM70" t="s">
        <v>139</v>
      </c>
      <c r="BN70" t="s">
        <v>805</v>
      </c>
    </row>
    <row r="71" spans="1:66" x14ac:dyDescent="0.35">
      <c r="A71">
        <v>190611</v>
      </c>
      <c r="B71" t="s">
        <v>806</v>
      </c>
      <c r="C71" t="s">
        <v>65</v>
      </c>
      <c r="D71" t="s">
        <v>66</v>
      </c>
      <c r="E71" t="s">
        <v>67</v>
      </c>
      <c r="F71" t="s">
        <v>68</v>
      </c>
      <c r="G71" t="s">
        <v>69</v>
      </c>
      <c r="H71" t="s">
        <v>70</v>
      </c>
      <c r="I71" t="s">
        <v>807</v>
      </c>
      <c r="J71" t="s">
        <v>808</v>
      </c>
      <c r="K71" t="s">
        <v>809</v>
      </c>
      <c r="L71" t="s">
        <v>809</v>
      </c>
      <c r="M71" t="s">
        <v>810</v>
      </c>
      <c r="N71" t="s">
        <v>811</v>
      </c>
      <c r="O71" t="s">
        <v>77</v>
      </c>
      <c r="P71" s="2">
        <f t="shared" si="2"/>
        <v>24.016666666666666</v>
      </c>
      <c r="Q71" t="s">
        <v>812</v>
      </c>
      <c r="R71" s="2">
        <f t="shared" si="3"/>
        <v>5.0311111111111115</v>
      </c>
      <c r="S71" t="s">
        <v>813</v>
      </c>
      <c r="T71">
        <v>1</v>
      </c>
      <c r="U71">
        <v>1</v>
      </c>
      <c r="V71" t="s">
        <v>80</v>
      </c>
      <c r="W71" t="s">
        <v>80</v>
      </c>
      <c r="X71" t="s">
        <v>81</v>
      </c>
      <c r="Y71" t="s">
        <v>82</v>
      </c>
      <c r="Z71" t="s">
        <v>82</v>
      </c>
      <c r="AA71" t="s">
        <v>83</v>
      </c>
      <c r="AB71" t="s">
        <v>84</v>
      </c>
      <c r="AC71" t="s">
        <v>82</v>
      </c>
      <c r="AD71" t="s">
        <v>85</v>
      </c>
      <c r="AE71" t="s">
        <v>82</v>
      </c>
      <c r="AF71" t="s">
        <v>82</v>
      </c>
      <c r="AG71" t="s">
        <v>87</v>
      </c>
      <c r="AH71" t="s">
        <v>814</v>
      </c>
      <c r="AI71" t="s">
        <v>815</v>
      </c>
      <c r="AJ71" t="s">
        <v>82</v>
      </c>
      <c r="AK71" t="s">
        <v>82</v>
      </c>
      <c r="AL71" t="s">
        <v>82</v>
      </c>
      <c r="AM71" t="s">
        <v>82</v>
      </c>
      <c r="AN71" t="s">
        <v>82</v>
      </c>
      <c r="AO71" t="s">
        <v>82</v>
      </c>
      <c r="AP71" t="s">
        <v>82</v>
      </c>
      <c r="AQ71" t="s">
        <v>82</v>
      </c>
      <c r="AR71" t="s">
        <v>82</v>
      </c>
      <c r="AS71" t="s">
        <v>88</v>
      </c>
      <c r="AT71" t="s">
        <v>816</v>
      </c>
      <c r="AU71" t="s">
        <v>6</v>
      </c>
      <c r="AV71" t="s">
        <v>90</v>
      </c>
      <c r="AW71" t="s">
        <v>90</v>
      </c>
      <c r="AX71" t="s">
        <v>82</v>
      </c>
      <c r="AY71" t="s">
        <v>82</v>
      </c>
      <c r="AZ71" t="s">
        <v>90</v>
      </c>
      <c r="BA71" t="s">
        <v>90</v>
      </c>
      <c r="BB71" t="s">
        <v>90</v>
      </c>
      <c r="BC71" t="s">
        <v>90</v>
      </c>
      <c r="BD71" t="s">
        <v>82</v>
      </c>
      <c r="BE71" t="s">
        <v>90</v>
      </c>
      <c r="BF71" t="s">
        <v>82</v>
      </c>
      <c r="BG71" t="s">
        <v>82</v>
      </c>
      <c r="BH71" t="s">
        <v>82</v>
      </c>
      <c r="BI71" t="s">
        <v>82</v>
      </c>
      <c r="BJ71" t="s">
        <v>82</v>
      </c>
      <c r="BK71" t="s">
        <v>82</v>
      </c>
      <c r="BL71" t="s">
        <v>90</v>
      </c>
      <c r="BM71" t="s">
        <v>459</v>
      </c>
      <c r="BN71" t="s">
        <v>460</v>
      </c>
    </row>
    <row r="72" spans="1:66" x14ac:dyDescent="0.35">
      <c r="A72">
        <v>190636</v>
      </c>
      <c r="B72" t="s">
        <v>817</v>
      </c>
      <c r="C72" t="s">
        <v>65</v>
      </c>
      <c r="D72" t="s">
        <v>66</v>
      </c>
      <c r="E72" t="s">
        <v>67</v>
      </c>
      <c r="F72" t="s">
        <v>123</v>
      </c>
      <c r="G72" t="s">
        <v>69</v>
      </c>
      <c r="H72" t="s">
        <v>70</v>
      </c>
      <c r="I72" t="s">
        <v>818</v>
      </c>
      <c r="J72" t="s">
        <v>819</v>
      </c>
      <c r="K72" t="s">
        <v>820</v>
      </c>
      <c r="L72" t="s">
        <v>820</v>
      </c>
      <c r="M72" t="s">
        <v>821</v>
      </c>
      <c r="N72" t="s">
        <v>82</v>
      </c>
      <c r="O72" t="s">
        <v>77</v>
      </c>
      <c r="P72" s="2">
        <f t="shared" si="2"/>
        <v>0</v>
      </c>
      <c r="Q72" t="s">
        <v>78</v>
      </c>
      <c r="R72" s="2">
        <f t="shared" si="3"/>
        <v>3.6666666666666667E-2</v>
      </c>
      <c r="S72" t="s">
        <v>822</v>
      </c>
      <c r="T72">
        <v>0</v>
      </c>
      <c r="U72">
        <v>1</v>
      </c>
      <c r="V72" t="s">
        <v>80</v>
      </c>
      <c r="W72" t="s">
        <v>82</v>
      </c>
      <c r="X72" t="s">
        <v>81</v>
      </c>
      <c r="Y72" t="s">
        <v>82</v>
      </c>
      <c r="Z72" t="s">
        <v>82</v>
      </c>
      <c r="AA72" t="s">
        <v>83</v>
      </c>
      <c r="AB72" t="s">
        <v>84</v>
      </c>
      <c r="AC72" t="s">
        <v>82</v>
      </c>
      <c r="AD72" t="s">
        <v>85</v>
      </c>
      <c r="AE72" t="s">
        <v>82</v>
      </c>
      <c r="AF72" t="s">
        <v>82</v>
      </c>
      <c r="AG72" t="s">
        <v>87</v>
      </c>
      <c r="AH72" t="s">
        <v>82</v>
      </c>
      <c r="AI72" t="s">
        <v>129</v>
      </c>
      <c r="AJ72" t="s">
        <v>82</v>
      </c>
      <c r="AK72" t="s">
        <v>82</v>
      </c>
      <c r="AL72" t="s">
        <v>82</v>
      </c>
      <c r="AM72" t="s">
        <v>82</v>
      </c>
      <c r="AN72" t="s">
        <v>82</v>
      </c>
      <c r="AO72" t="s">
        <v>82</v>
      </c>
      <c r="AP72" t="s">
        <v>82</v>
      </c>
      <c r="AQ72" t="s">
        <v>82</v>
      </c>
      <c r="AR72" t="s">
        <v>82</v>
      </c>
      <c r="AS72" t="s">
        <v>130</v>
      </c>
      <c r="AT72" t="s">
        <v>129</v>
      </c>
      <c r="AU72" t="s">
        <v>82</v>
      </c>
      <c r="AV72" t="s">
        <v>90</v>
      </c>
      <c r="AW72" t="s">
        <v>90</v>
      </c>
      <c r="AX72" t="s">
        <v>82</v>
      </c>
      <c r="AY72" t="s">
        <v>82</v>
      </c>
      <c r="AZ72" t="s">
        <v>90</v>
      </c>
      <c r="BA72" t="s">
        <v>90</v>
      </c>
      <c r="BB72" t="s">
        <v>90</v>
      </c>
      <c r="BC72" t="s">
        <v>90</v>
      </c>
      <c r="BD72" t="s">
        <v>82</v>
      </c>
      <c r="BE72" t="s">
        <v>90</v>
      </c>
      <c r="BF72" t="s">
        <v>82</v>
      </c>
      <c r="BG72" t="s">
        <v>82</v>
      </c>
      <c r="BH72" t="s">
        <v>82</v>
      </c>
      <c r="BI72" t="s">
        <v>82</v>
      </c>
      <c r="BJ72" t="s">
        <v>82</v>
      </c>
      <c r="BK72" t="s">
        <v>82</v>
      </c>
      <c r="BL72" t="s">
        <v>90</v>
      </c>
      <c r="BM72" t="s">
        <v>770</v>
      </c>
      <c r="BN72" t="s">
        <v>771</v>
      </c>
    </row>
    <row r="73" spans="1:66" x14ac:dyDescent="0.35">
      <c r="A73">
        <v>190742</v>
      </c>
      <c r="B73" t="s">
        <v>558</v>
      </c>
      <c r="C73" t="s">
        <v>65</v>
      </c>
      <c r="D73" t="s">
        <v>66</v>
      </c>
      <c r="E73" t="s">
        <v>586</v>
      </c>
      <c r="F73" t="s">
        <v>158</v>
      </c>
      <c r="G73" t="s">
        <v>69</v>
      </c>
      <c r="H73" t="s">
        <v>70</v>
      </c>
      <c r="I73" t="s">
        <v>562</v>
      </c>
      <c r="J73" t="s">
        <v>823</v>
      </c>
      <c r="K73" t="s">
        <v>824</v>
      </c>
      <c r="L73" t="s">
        <v>824</v>
      </c>
      <c r="M73" t="s">
        <v>825</v>
      </c>
      <c r="N73" t="s">
        <v>826</v>
      </c>
      <c r="O73" t="s">
        <v>77</v>
      </c>
      <c r="P73" s="2">
        <f t="shared" si="2"/>
        <v>12.233333333333333</v>
      </c>
      <c r="Q73" t="s">
        <v>827</v>
      </c>
      <c r="R73" s="2">
        <f t="shared" si="3"/>
        <v>12.549166666666668</v>
      </c>
      <c r="S73" t="s">
        <v>828</v>
      </c>
      <c r="T73">
        <v>2</v>
      </c>
      <c r="U73">
        <v>1</v>
      </c>
      <c r="V73" t="s">
        <v>80</v>
      </c>
      <c r="W73" t="s">
        <v>80</v>
      </c>
      <c r="X73" t="s">
        <v>81</v>
      </c>
      <c r="Y73" t="s">
        <v>82</v>
      </c>
      <c r="Z73" t="s">
        <v>82</v>
      </c>
      <c r="AA73" t="s">
        <v>83</v>
      </c>
      <c r="AB73" t="s">
        <v>84</v>
      </c>
      <c r="AC73" t="s">
        <v>82</v>
      </c>
      <c r="AD73" t="s">
        <v>85</v>
      </c>
      <c r="AE73" t="s">
        <v>569</v>
      </c>
      <c r="AF73" t="s">
        <v>82</v>
      </c>
      <c r="AG73" t="s">
        <v>87</v>
      </c>
      <c r="AH73" t="s">
        <v>569</v>
      </c>
      <c r="AI73" t="s">
        <v>829</v>
      </c>
      <c r="AJ73" t="s">
        <v>82</v>
      </c>
      <c r="AK73" t="s">
        <v>82</v>
      </c>
      <c r="AL73" t="s">
        <v>82</v>
      </c>
      <c r="AM73" t="s">
        <v>82</v>
      </c>
      <c r="AN73" t="s">
        <v>169</v>
      </c>
      <c r="AO73" t="s">
        <v>82</v>
      </c>
      <c r="AP73" t="s">
        <v>82</v>
      </c>
      <c r="AQ73" t="s">
        <v>82</v>
      </c>
      <c r="AR73" t="s">
        <v>82</v>
      </c>
      <c r="AS73" t="s">
        <v>88</v>
      </c>
      <c r="AT73" t="s">
        <v>567</v>
      </c>
      <c r="AU73" t="s">
        <v>6</v>
      </c>
      <c r="AV73" t="s">
        <v>90</v>
      </c>
      <c r="AW73" t="s">
        <v>90</v>
      </c>
      <c r="AX73" t="s">
        <v>82</v>
      </c>
      <c r="AY73" t="s">
        <v>82</v>
      </c>
      <c r="AZ73" t="s">
        <v>90</v>
      </c>
      <c r="BA73" t="s">
        <v>90</v>
      </c>
      <c r="BB73" t="s">
        <v>90</v>
      </c>
      <c r="BC73" t="s">
        <v>90</v>
      </c>
      <c r="BD73" t="s">
        <v>82</v>
      </c>
      <c r="BE73" t="s">
        <v>90</v>
      </c>
      <c r="BF73" t="s">
        <v>82</v>
      </c>
      <c r="BG73" t="s">
        <v>82</v>
      </c>
      <c r="BH73" t="s">
        <v>82</v>
      </c>
      <c r="BI73" t="s">
        <v>82</v>
      </c>
      <c r="BJ73" t="s">
        <v>82</v>
      </c>
      <c r="BK73" t="s">
        <v>82</v>
      </c>
      <c r="BL73" t="s">
        <v>90</v>
      </c>
      <c r="BM73" t="s">
        <v>569</v>
      </c>
      <c r="BN73" t="s">
        <v>570</v>
      </c>
    </row>
    <row r="74" spans="1:66" x14ac:dyDescent="0.35">
      <c r="A74">
        <v>190825</v>
      </c>
      <c r="B74" t="s">
        <v>830</v>
      </c>
      <c r="C74" t="s">
        <v>65</v>
      </c>
      <c r="D74" t="s">
        <v>66</v>
      </c>
      <c r="E74" t="s">
        <v>67</v>
      </c>
      <c r="F74" t="s">
        <v>542</v>
      </c>
      <c r="G74" t="s">
        <v>69</v>
      </c>
      <c r="H74" t="s">
        <v>70</v>
      </c>
      <c r="I74" t="s">
        <v>831</v>
      </c>
      <c r="J74" t="s">
        <v>832</v>
      </c>
      <c r="K74" t="s">
        <v>833</v>
      </c>
      <c r="L74" t="s">
        <v>833</v>
      </c>
      <c r="M74" t="s">
        <v>834</v>
      </c>
      <c r="N74" t="s">
        <v>835</v>
      </c>
      <c r="O74" t="s">
        <v>77</v>
      </c>
      <c r="P74" s="2">
        <f t="shared" si="2"/>
        <v>7.9000000000000012</v>
      </c>
      <c r="Q74" t="s">
        <v>836</v>
      </c>
      <c r="R74" s="2">
        <f t="shared" si="3"/>
        <v>0.14000000000000001</v>
      </c>
      <c r="S74" t="s">
        <v>837</v>
      </c>
      <c r="T74">
        <v>1</v>
      </c>
      <c r="U74">
        <v>1</v>
      </c>
      <c r="V74" t="s">
        <v>80</v>
      </c>
      <c r="W74" t="s">
        <v>80</v>
      </c>
      <c r="X74" t="s">
        <v>548</v>
      </c>
      <c r="Y74" t="s">
        <v>82</v>
      </c>
      <c r="Z74" t="s">
        <v>82</v>
      </c>
      <c r="AA74" t="s">
        <v>83</v>
      </c>
      <c r="AB74" t="s">
        <v>84</v>
      </c>
      <c r="AC74" t="s">
        <v>82</v>
      </c>
      <c r="AD74" t="s">
        <v>85</v>
      </c>
      <c r="AE74" t="s">
        <v>82</v>
      </c>
      <c r="AF74" t="s">
        <v>82</v>
      </c>
      <c r="AG74" t="s">
        <v>82</v>
      </c>
      <c r="AH74" t="s">
        <v>82</v>
      </c>
      <c r="AI74" t="s">
        <v>82</v>
      </c>
      <c r="AJ74" t="s">
        <v>82</v>
      </c>
      <c r="AK74" t="s">
        <v>82</v>
      </c>
      <c r="AL74" t="s">
        <v>82</v>
      </c>
      <c r="AM74" t="s">
        <v>82</v>
      </c>
      <c r="AN74" t="s">
        <v>82</v>
      </c>
      <c r="AO74" t="s">
        <v>82</v>
      </c>
      <c r="AP74" t="s">
        <v>82</v>
      </c>
      <c r="AQ74" t="s">
        <v>82</v>
      </c>
      <c r="AR74" t="s">
        <v>82</v>
      </c>
      <c r="AS74" t="s">
        <v>82</v>
      </c>
      <c r="AT74" t="s">
        <v>82</v>
      </c>
      <c r="AU74" t="s">
        <v>6</v>
      </c>
      <c r="AV74" t="s">
        <v>90</v>
      </c>
      <c r="AW74" t="s">
        <v>90</v>
      </c>
      <c r="AX74" t="s">
        <v>82</v>
      </c>
      <c r="AY74" t="s">
        <v>82</v>
      </c>
      <c r="AZ74" t="s">
        <v>90</v>
      </c>
      <c r="BA74" t="s">
        <v>90</v>
      </c>
      <c r="BB74" t="s">
        <v>90</v>
      </c>
      <c r="BC74" t="s">
        <v>90</v>
      </c>
      <c r="BD74" t="s">
        <v>82</v>
      </c>
      <c r="BE74" t="s">
        <v>90</v>
      </c>
      <c r="BF74" t="s">
        <v>82</v>
      </c>
      <c r="BG74" t="s">
        <v>82</v>
      </c>
      <c r="BH74" t="s">
        <v>82</v>
      </c>
      <c r="BI74" t="s">
        <v>82</v>
      </c>
      <c r="BJ74" t="s">
        <v>82</v>
      </c>
      <c r="BK74" t="s">
        <v>82</v>
      </c>
      <c r="BL74" t="s">
        <v>90</v>
      </c>
      <c r="BM74" t="s">
        <v>838</v>
      </c>
      <c r="BN74" t="s">
        <v>839</v>
      </c>
    </row>
    <row r="75" spans="1:66" x14ac:dyDescent="0.35">
      <c r="A75">
        <v>190827</v>
      </c>
      <c r="B75" t="s">
        <v>840</v>
      </c>
      <c r="C75" t="s">
        <v>65</v>
      </c>
      <c r="D75" t="s">
        <v>66</v>
      </c>
      <c r="E75" t="s">
        <v>67</v>
      </c>
      <c r="F75" t="s">
        <v>123</v>
      </c>
      <c r="G75" t="s">
        <v>69</v>
      </c>
      <c r="H75" t="s">
        <v>70</v>
      </c>
      <c r="I75" t="s">
        <v>841</v>
      </c>
      <c r="J75" t="s">
        <v>842</v>
      </c>
      <c r="K75" t="s">
        <v>843</v>
      </c>
      <c r="L75" t="s">
        <v>843</v>
      </c>
      <c r="M75" t="s">
        <v>834</v>
      </c>
      <c r="N75" t="s">
        <v>82</v>
      </c>
      <c r="O75" t="s">
        <v>77</v>
      </c>
      <c r="P75" s="2">
        <f t="shared" si="2"/>
        <v>0</v>
      </c>
      <c r="Q75" t="s">
        <v>78</v>
      </c>
      <c r="R75" s="2">
        <f t="shared" si="3"/>
        <v>8.1944444444444445E-2</v>
      </c>
      <c r="S75" t="s">
        <v>844</v>
      </c>
      <c r="T75">
        <v>0</v>
      </c>
      <c r="U75">
        <v>1</v>
      </c>
      <c r="V75" t="s">
        <v>80</v>
      </c>
      <c r="W75" t="s">
        <v>82</v>
      </c>
      <c r="X75" t="s">
        <v>81</v>
      </c>
      <c r="Y75" t="s">
        <v>82</v>
      </c>
      <c r="Z75" t="s">
        <v>82</v>
      </c>
      <c r="AA75" t="s">
        <v>83</v>
      </c>
      <c r="AB75" t="s">
        <v>84</v>
      </c>
      <c r="AC75" t="s">
        <v>82</v>
      </c>
      <c r="AD75" t="s">
        <v>85</v>
      </c>
      <c r="AE75" t="s">
        <v>82</v>
      </c>
      <c r="AF75" t="s">
        <v>82</v>
      </c>
      <c r="AG75" t="s">
        <v>87</v>
      </c>
      <c r="AH75" t="s">
        <v>82</v>
      </c>
      <c r="AI75" t="s">
        <v>129</v>
      </c>
      <c r="AJ75" t="s">
        <v>82</v>
      </c>
      <c r="AK75" t="s">
        <v>82</v>
      </c>
      <c r="AL75" t="s">
        <v>82</v>
      </c>
      <c r="AM75" t="s">
        <v>82</v>
      </c>
      <c r="AN75" t="s">
        <v>82</v>
      </c>
      <c r="AO75" t="s">
        <v>82</v>
      </c>
      <c r="AP75" t="s">
        <v>82</v>
      </c>
      <c r="AQ75" t="s">
        <v>82</v>
      </c>
      <c r="AR75" t="s">
        <v>82</v>
      </c>
      <c r="AS75" t="s">
        <v>130</v>
      </c>
      <c r="AT75" t="s">
        <v>129</v>
      </c>
      <c r="AU75" t="s">
        <v>82</v>
      </c>
      <c r="AV75" t="s">
        <v>90</v>
      </c>
      <c r="AW75" t="s">
        <v>90</v>
      </c>
      <c r="AX75" t="s">
        <v>82</v>
      </c>
      <c r="AY75" t="s">
        <v>82</v>
      </c>
      <c r="AZ75" t="s">
        <v>90</v>
      </c>
      <c r="BA75" t="s">
        <v>90</v>
      </c>
      <c r="BB75" t="s">
        <v>90</v>
      </c>
      <c r="BC75" t="s">
        <v>90</v>
      </c>
      <c r="BD75" t="s">
        <v>82</v>
      </c>
      <c r="BE75" t="s">
        <v>90</v>
      </c>
      <c r="BF75" t="s">
        <v>82</v>
      </c>
      <c r="BG75" t="s">
        <v>82</v>
      </c>
      <c r="BH75" t="s">
        <v>82</v>
      </c>
      <c r="BI75" t="s">
        <v>82</v>
      </c>
      <c r="BJ75" t="s">
        <v>82</v>
      </c>
      <c r="BK75" t="s">
        <v>82</v>
      </c>
      <c r="BL75" t="s">
        <v>90</v>
      </c>
      <c r="BM75" t="s">
        <v>845</v>
      </c>
      <c r="BN75" t="s">
        <v>846</v>
      </c>
    </row>
    <row r="76" spans="1:66" x14ac:dyDescent="0.35">
      <c r="A76">
        <v>190866</v>
      </c>
      <c r="B76" t="s">
        <v>847</v>
      </c>
      <c r="C76" t="s">
        <v>65</v>
      </c>
      <c r="D76" t="s">
        <v>66</v>
      </c>
      <c r="E76" t="s">
        <v>67</v>
      </c>
      <c r="F76" t="s">
        <v>542</v>
      </c>
      <c r="G76" t="s">
        <v>69</v>
      </c>
      <c r="H76" t="s">
        <v>70</v>
      </c>
      <c r="I76" t="s">
        <v>848</v>
      </c>
      <c r="J76" t="s">
        <v>849</v>
      </c>
      <c r="K76" t="s">
        <v>850</v>
      </c>
      <c r="L76" t="s">
        <v>850</v>
      </c>
      <c r="M76" t="s">
        <v>851</v>
      </c>
      <c r="N76" t="s">
        <v>82</v>
      </c>
      <c r="O76" t="s">
        <v>77</v>
      </c>
      <c r="P76" s="2">
        <f t="shared" si="2"/>
        <v>0</v>
      </c>
      <c r="Q76" t="s">
        <v>78</v>
      </c>
      <c r="R76" s="2">
        <f t="shared" si="3"/>
        <v>6.5000000000000002E-2</v>
      </c>
      <c r="S76" t="s">
        <v>852</v>
      </c>
      <c r="T76">
        <v>0</v>
      </c>
      <c r="U76">
        <v>1</v>
      </c>
      <c r="V76" t="s">
        <v>80</v>
      </c>
      <c r="W76" t="s">
        <v>82</v>
      </c>
      <c r="X76" t="s">
        <v>548</v>
      </c>
      <c r="Y76" t="s">
        <v>82</v>
      </c>
      <c r="Z76" t="s">
        <v>82</v>
      </c>
      <c r="AA76" t="s">
        <v>83</v>
      </c>
      <c r="AB76" t="s">
        <v>84</v>
      </c>
      <c r="AC76" t="s">
        <v>82</v>
      </c>
      <c r="AD76" t="s">
        <v>85</v>
      </c>
      <c r="AE76" t="s">
        <v>82</v>
      </c>
      <c r="AF76" t="s">
        <v>82</v>
      </c>
      <c r="AG76" t="s">
        <v>82</v>
      </c>
      <c r="AH76" t="s">
        <v>82</v>
      </c>
      <c r="AI76" t="s">
        <v>82</v>
      </c>
      <c r="AJ76" t="s">
        <v>82</v>
      </c>
      <c r="AK76" t="s">
        <v>82</v>
      </c>
      <c r="AL76" t="s">
        <v>82</v>
      </c>
      <c r="AM76" t="s">
        <v>82</v>
      </c>
      <c r="AN76" t="s">
        <v>82</v>
      </c>
      <c r="AO76" t="s">
        <v>82</v>
      </c>
      <c r="AP76" t="s">
        <v>82</v>
      </c>
      <c r="AQ76" t="s">
        <v>82</v>
      </c>
      <c r="AR76" t="s">
        <v>82</v>
      </c>
      <c r="AS76" t="s">
        <v>82</v>
      </c>
      <c r="AT76" t="s">
        <v>82</v>
      </c>
      <c r="AU76" t="s">
        <v>82</v>
      </c>
      <c r="AV76" t="s">
        <v>90</v>
      </c>
      <c r="AW76" t="s">
        <v>90</v>
      </c>
      <c r="AX76" t="s">
        <v>82</v>
      </c>
      <c r="AY76" t="s">
        <v>82</v>
      </c>
      <c r="AZ76" t="s">
        <v>90</v>
      </c>
      <c r="BA76" t="s">
        <v>90</v>
      </c>
      <c r="BB76" t="s">
        <v>90</v>
      </c>
      <c r="BC76" t="s">
        <v>90</v>
      </c>
      <c r="BD76" t="s">
        <v>82</v>
      </c>
      <c r="BE76" t="s">
        <v>90</v>
      </c>
      <c r="BF76" t="s">
        <v>82</v>
      </c>
      <c r="BG76" t="s">
        <v>82</v>
      </c>
      <c r="BH76" t="s">
        <v>82</v>
      </c>
      <c r="BI76" t="s">
        <v>82</v>
      </c>
      <c r="BJ76" t="s">
        <v>82</v>
      </c>
      <c r="BK76" t="s">
        <v>82</v>
      </c>
      <c r="BL76" t="s">
        <v>90</v>
      </c>
      <c r="BM76" t="s">
        <v>170</v>
      </c>
      <c r="BN76" t="s">
        <v>171</v>
      </c>
    </row>
    <row r="77" spans="1:66" x14ac:dyDescent="0.35">
      <c r="A77">
        <v>190933</v>
      </c>
      <c r="B77" t="s">
        <v>523</v>
      </c>
      <c r="C77" t="s">
        <v>65</v>
      </c>
      <c r="D77" t="s">
        <v>66</v>
      </c>
      <c r="E77" t="s">
        <v>67</v>
      </c>
      <c r="F77" t="s">
        <v>123</v>
      </c>
      <c r="G77" t="s">
        <v>69</v>
      </c>
      <c r="H77" t="s">
        <v>70</v>
      </c>
      <c r="I77" t="s">
        <v>853</v>
      </c>
      <c r="J77" t="s">
        <v>854</v>
      </c>
      <c r="K77" t="s">
        <v>855</v>
      </c>
      <c r="L77" t="s">
        <v>855</v>
      </c>
      <c r="M77" t="s">
        <v>856</v>
      </c>
      <c r="N77" t="s">
        <v>82</v>
      </c>
      <c r="O77" t="s">
        <v>77</v>
      </c>
      <c r="P77" s="2">
        <f t="shared" si="2"/>
        <v>0</v>
      </c>
      <c r="Q77" t="s">
        <v>78</v>
      </c>
      <c r="R77" s="2">
        <f t="shared" si="3"/>
        <v>9.2499999999999999E-2</v>
      </c>
      <c r="S77" t="s">
        <v>857</v>
      </c>
      <c r="T77">
        <v>0</v>
      </c>
      <c r="U77">
        <v>1</v>
      </c>
      <c r="V77" t="s">
        <v>80</v>
      </c>
      <c r="W77" t="s">
        <v>82</v>
      </c>
      <c r="X77" t="s">
        <v>81</v>
      </c>
      <c r="Y77" t="s">
        <v>82</v>
      </c>
      <c r="Z77" t="s">
        <v>82</v>
      </c>
      <c r="AA77" t="s">
        <v>83</v>
      </c>
      <c r="AB77" t="s">
        <v>84</v>
      </c>
      <c r="AC77" t="s">
        <v>82</v>
      </c>
      <c r="AD77" t="s">
        <v>85</v>
      </c>
      <c r="AE77" t="s">
        <v>82</v>
      </c>
      <c r="AF77" t="s">
        <v>82</v>
      </c>
      <c r="AG77" t="s">
        <v>87</v>
      </c>
      <c r="AH77" t="s">
        <v>82</v>
      </c>
      <c r="AI77" t="s">
        <v>129</v>
      </c>
      <c r="AJ77" t="s">
        <v>82</v>
      </c>
      <c r="AK77" t="s">
        <v>82</v>
      </c>
      <c r="AL77" t="s">
        <v>82</v>
      </c>
      <c r="AM77" t="s">
        <v>82</v>
      </c>
      <c r="AN77" t="s">
        <v>82</v>
      </c>
      <c r="AO77" t="s">
        <v>82</v>
      </c>
      <c r="AP77" t="s">
        <v>82</v>
      </c>
      <c r="AQ77" t="s">
        <v>82</v>
      </c>
      <c r="AR77" t="s">
        <v>82</v>
      </c>
      <c r="AS77" t="s">
        <v>130</v>
      </c>
      <c r="AT77" t="s">
        <v>129</v>
      </c>
      <c r="AU77" t="s">
        <v>82</v>
      </c>
      <c r="AV77" t="s">
        <v>90</v>
      </c>
      <c r="AW77" t="s">
        <v>90</v>
      </c>
      <c r="AX77" t="s">
        <v>82</v>
      </c>
      <c r="AY77" t="s">
        <v>82</v>
      </c>
      <c r="AZ77" t="s">
        <v>90</v>
      </c>
      <c r="BA77" t="s">
        <v>90</v>
      </c>
      <c r="BB77" t="s">
        <v>90</v>
      </c>
      <c r="BC77" t="s">
        <v>90</v>
      </c>
      <c r="BD77" t="s">
        <v>82</v>
      </c>
      <c r="BE77" t="s">
        <v>90</v>
      </c>
      <c r="BF77" t="s">
        <v>82</v>
      </c>
      <c r="BG77" t="s">
        <v>82</v>
      </c>
      <c r="BH77" t="s">
        <v>82</v>
      </c>
      <c r="BI77" t="s">
        <v>82</v>
      </c>
      <c r="BJ77" t="s">
        <v>82</v>
      </c>
      <c r="BK77" t="s">
        <v>82</v>
      </c>
      <c r="BL77" t="s">
        <v>90</v>
      </c>
      <c r="BM77" t="s">
        <v>139</v>
      </c>
      <c r="BN77" t="s">
        <v>858</v>
      </c>
    </row>
    <row r="78" spans="1:66" x14ac:dyDescent="0.35">
      <c r="A78">
        <v>191095</v>
      </c>
      <c r="B78" t="s">
        <v>859</v>
      </c>
      <c r="C78" t="s">
        <v>65</v>
      </c>
      <c r="D78" t="s">
        <v>66</v>
      </c>
      <c r="E78" t="s">
        <v>67</v>
      </c>
      <c r="F78" t="s">
        <v>87</v>
      </c>
      <c r="G78" t="s">
        <v>69</v>
      </c>
      <c r="H78" t="s">
        <v>70</v>
      </c>
      <c r="I78" t="s">
        <v>860</v>
      </c>
      <c r="J78" t="s">
        <v>861</v>
      </c>
      <c r="K78" t="s">
        <v>862</v>
      </c>
      <c r="L78" t="s">
        <v>862</v>
      </c>
      <c r="M78" t="s">
        <v>863</v>
      </c>
      <c r="N78" t="s">
        <v>864</v>
      </c>
      <c r="O78" t="s">
        <v>77</v>
      </c>
      <c r="P78" s="2">
        <f t="shared" si="2"/>
        <v>6.8</v>
      </c>
      <c r="Q78" t="s">
        <v>865</v>
      </c>
      <c r="R78" s="2">
        <f t="shared" si="3"/>
        <v>1.6344444444444446</v>
      </c>
      <c r="S78" t="s">
        <v>866</v>
      </c>
      <c r="T78">
        <v>2</v>
      </c>
      <c r="U78">
        <v>3</v>
      </c>
      <c r="V78" t="s">
        <v>80</v>
      </c>
      <c r="W78" t="s">
        <v>80</v>
      </c>
      <c r="X78" t="s">
        <v>81</v>
      </c>
      <c r="Y78" t="s">
        <v>82</v>
      </c>
      <c r="Z78" t="s">
        <v>82</v>
      </c>
      <c r="AA78" t="s">
        <v>83</v>
      </c>
      <c r="AB78" t="s">
        <v>84</v>
      </c>
      <c r="AC78" t="s">
        <v>82</v>
      </c>
      <c r="AD78" t="s">
        <v>85</v>
      </c>
      <c r="AE78" t="s">
        <v>567</v>
      </c>
      <c r="AF78" t="s">
        <v>82</v>
      </c>
      <c r="AG78" t="s">
        <v>87</v>
      </c>
      <c r="AH78" t="s">
        <v>567</v>
      </c>
      <c r="AI78" t="s">
        <v>568</v>
      </c>
      <c r="AJ78" t="s">
        <v>82</v>
      </c>
      <c r="AK78" t="s">
        <v>82</v>
      </c>
      <c r="AL78" t="s">
        <v>82</v>
      </c>
      <c r="AM78" t="s">
        <v>82</v>
      </c>
      <c r="AN78" t="s">
        <v>82</v>
      </c>
      <c r="AO78" t="s">
        <v>82</v>
      </c>
      <c r="AP78" t="s">
        <v>82</v>
      </c>
      <c r="AQ78" t="s">
        <v>82</v>
      </c>
      <c r="AR78" t="s">
        <v>82</v>
      </c>
      <c r="AS78" t="s">
        <v>88</v>
      </c>
      <c r="AT78" t="s">
        <v>567</v>
      </c>
      <c r="AU78" t="s">
        <v>106</v>
      </c>
      <c r="AV78" t="s">
        <v>90</v>
      </c>
      <c r="AW78" t="s">
        <v>90</v>
      </c>
      <c r="AX78" t="s">
        <v>82</v>
      </c>
      <c r="AY78" t="s">
        <v>82</v>
      </c>
      <c r="AZ78" t="s">
        <v>90</v>
      </c>
      <c r="BA78" t="s">
        <v>90</v>
      </c>
      <c r="BB78" t="s">
        <v>90</v>
      </c>
      <c r="BC78" t="s">
        <v>90</v>
      </c>
      <c r="BD78" t="s">
        <v>867</v>
      </c>
      <c r="BE78" t="s">
        <v>90</v>
      </c>
      <c r="BF78" t="s">
        <v>82</v>
      </c>
      <c r="BG78" t="s">
        <v>82</v>
      </c>
      <c r="BH78" t="s">
        <v>82</v>
      </c>
      <c r="BI78" t="s">
        <v>82</v>
      </c>
      <c r="BJ78" t="s">
        <v>82</v>
      </c>
      <c r="BK78" t="s">
        <v>82</v>
      </c>
      <c r="BL78" t="s">
        <v>90</v>
      </c>
      <c r="BM78" t="s">
        <v>569</v>
      </c>
      <c r="BN78" t="s">
        <v>570</v>
      </c>
    </row>
    <row r="79" spans="1:66" x14ac:dyDescent="0.35">
      <c r="A79">
        <v>191480</v>
      </c>
      <c r="B79" t="s">
        <v>868</v>
      </c>
      <c r="C79" t="s">
        <v>65</v>
      </c>
      <c r="D79" t="s">
        <v>150</v>
      </c>
      <c r="E79" t="s">
        <v>67</v>
      </c>
      <c r="F79" t="s">
        <v>82</v>
      </c>
      <c r="G79" t="s">
        <v>69</v>
      </c>
      <c r="H79" t="s">
        <v>70</v>
      </c>
      <c r="I79" t="s">
        <v>869</v>
      </c>
      <c r="J79" t="s">
        <v>870</v>
      </c>
      <c r="K79" t="s">
        <v>871</v>
      </c>
      <c r="L79" t="s">
        <v>872</v>
      </c>
      <c r="M79" t="s">
        <v>873</v>
      </c>
      <c r="N79" t="s">
        <v>874</v>
      </c>
      <c r="O79" t="s">
        <v>77</v>
      </c>
      <c r="P79" s="2">
        <f t="shared" si="2"/>
        <v>10.983333333333334</v>
      </c>
      <c r="Q79" t="s">
        <v>875</v>
      </c>
      <c r="R79" s="2">
        <f t="shared" si="3"/>
        <v>61.844444444444441</v>
      </c>
      <c r="S79" t="s">
        <v>876</v>
      </c>
      <c r="T79">
        <v>2</v>
      </c>
      <c r="U79">
        <v>1</v>
      </c>
      <c r="V79" t="s">
        <v>80</v>
      </c>
      <c r="W79" t="s">
        <v>80</v>
      </c>
      <c r="X79" t="s">
        <v>241</v>
      </c>
      <c r="Y79" t="s">
        <v>82</v>
      </c>
      <c r="Z79" t="s">
        <v>82</v>
      </c>
      <c r="AA79" t="s">
        <v>83</v>
      </c>
      <c r="AB79" t="s">
        <v>84</v>
      </c>
      <c r="AC79" t="s">
        <v>82</v>
      </c>
      <c r="AD79" t="s">
        <v>85</v>
      </c>
      <c r="AE79" t="s">
        <v>82</v>
      </c>
      <c r="AF79" t="s">
        <v>82</v>
      </c>
      <c r="AG79" t="s">
        <v>87</v>
      </c>
      <c r="AH79" t="s">
        <v>877</v>
      </c>
      <c r="AI79" t="s">
        <v>82</v>
      </c>
      <c r="AJ79" t="s">
        <v>82</v>
      </c>
      <c r="AK79" t="s">
        <v>82</v>
      </c>
      <c r="AL79" t="s">
        <v>82</v>
      </c>
      <c r="AM79" t="s">
        <v>82</v>
      </c>
      <c r="AN79" t="s">
        <v>82</v>
      </c>
      <c r="AO79" t="s">
        <v>82</v>
      </c>
      <c r="AP79" t="s">
        <v>82</v>
      </c>
      <c r="AQ79" t="s">
        <v>82</v>
      </c>
      <c r="AR79" t="s">
        <v>82</v>
      </c>
      <c r="AS79" t="s">
        <v>88</v>
      </c>
      <c r="AT79" t="s">
        <v>877</v>
      </c>
      <c r="AU79" t="s">
        <v>6</v>
      </c>
      <c r="AV79" t="s">
        <v>90</v>
      </c>
      <c r="AW79" t="s">
        <v>91</v>
      </c>
      <c r="AX79" t="s">
        <v>82</v>
      </c>
      <c r="AY79" t="s">
        <v>82</v>
      </c>
      <c r="AZ79" t="s">
        <v>90</v>
      </c>
      <c r="BA79" t="s">
        <v>90</v>
      </c>
      <c r="BB79" t="s">
        <v>91</v>
      </c>
      <c r="BC79" t="s">
        <v>91</v>
      </c>
      <c r="BD79" t="s">
        <v>82</v>
      </c>
      <c r="BE79" t="s">
        <v>90</v>
      </c>
      <c r="BF79" t="s">
        <v>82</v>
      </c>
      <c r="BG79" t="s">
        <v>82</v>
      </c>
      <c r="BH79" t="s">
        <v>82</v>
      </c>
      <c r="BI79" t="s">
        <v>82</v>
      </c>
      <c r="BJ79" t="s">
        <v>82</v>
      </c>
      <c r="BK79" t="s">
        <v>82</v>
      </c>
      <c r="BL79" t="s">
        <v>90</v>
      </c>
      <c r="BM79" t="s">
        <v>118</v>
      </c>
      <c r="BN79" t="s">
        <v>121</v>
      </c>
    </row>
    <row r="80" spans="1:66" x14ac:dyDescent="0.35">
      <c r="A80">
        <v>191568</v>
      </c>
      <c r="B80" t="s">
        <v>878</v>
      </c>
      <c r="C80" t="s">
        <v>65</v>
      </c>
      <c r="D80" t="s">
        <v>150</v>
      </c>
      <c r="E80" t="s">
        <v>67</v>
      </c>
      <c r="F80" t="s">
        <v>82</v>
      </c>
      <c r="G80" t="s">
        <v>69</v>
      </c>
      <c r="H80" t="s">
        <v>70</v>
      </c>
      <c r="I80" t="s">
        <v>879</v>
      </c>
      <c r="J80" t="s">
        <v>880</v>
      </c>
      <c r="K80" t="s">
        <v>881</v>
      </c>
      <c r="L80" t="s">
        <v>882</v>
      </c>
      <c r="M80" t="s">
        <v>883</v>
      </c>
      <c r="N80" t="s">
        <v>884</v>
      </c>
      <c r="O80" t="s">
        <v>77</v>
      </c>
      <c r="P80" s="2">
        <f t="shared" si="2"/>
        <v>47.483333333333334</v>
      </c>
      <c r="Q80" t="s">
        <v>885</v>
      </c>
      <c r="R80" s="2">
        <f t="shared" si="3"/>
        <v>26.255555555555553</v>
      </c>
      <c r="S80" t="s">
        <v>886</v>
      </c>
      <c r="T80">
        <v>3</v>
      </c>
      <c r="U80">
        <v>2</v>
      </c>
      <c r="V80" t="s">
        <v>80</v>
      </c>
      <c r="W80" t="s">
        <v>80</v>
      </c>
      <c r="X80" t="s">
        <v>156</v>
      </c>
      <c r="Y80" t="s">
        <v>82</v>
      </c>
      <c r="Z80" t="s">
        <v>82</v>
      </c>
      <c r="AA80" t="s">
        <v>83</v>
      </c>
      <c r="AB80" t="s">
        <v>84</v>
      </c>
      <c r="AC80" t="s">
        <v>82</v>
      </c>
      <c r="AD80" t="s">
        <v>85</v>
      </c>
      <c r="AE80" t="s">
        <v>82</v>
      </c>
      <c r="AF80" t="s">
        <v>82</v>
      </c>
      <c r="AG80" t="s">
        <v>887</v>
      </c>
      <c r="AH80" t="s">
        <v>82</v>
      </c>
      <c r="AI80" t="s">
        <v>82</v>
      </c>
      <c r="AJ80" t="s">
        <v>82</v>
      </c>
      <c r="AK80" t="s">
        <v>82</v>
      </c>
      <c r="AL80" t="s">
        <v>82</v>
      </c>
      <c r="AM80" t="s">
        <v>82</v>
      </c>
      <c r="AN80" t="s">
        <v>82</v>
      </c>
      <c r="AO80" t="s">
        <v>82</v>
      </c>
      <c r="AP80" t="s">
        <v>82</v>
      </c>
      <c r="AQ80" t="s">
        <v>82</v>
      </c>
      <c r="AR80" t="s">
        <v>82</v>
      </c>
      <c r="AS80" t="s">
        <v>88</v>
      </c>
      <c r="AT80" t="s">
        <v>82</v>
      </c>
      <c r="AU80" t="s">
        <v>6</v>
      </c>
      <c r="AV80" t="s">
        <v>90</v>
      </c>
      <c r="AW80" t="s">
        <v>91</v>
      </c>
      <c r="AX80" t="s">
        <v>82</v>
      </c>
      <c r="AY80" t="s">
        <v>82</v>
      </c>
      <c r="AZ80" t="s">
        <v>90</v>
      </c>
      <c r="BA80" t="s">
        <v>90</v>
      </c>
      <c r="BB80" t="s">
        <v>91</v>
      </c>
      <c r="BC80" t="s">
        <v>91</v>
      </c>
      <c r="BD80" t="s">
        <v>82</v>
      </c>
      <c r="BE80" t="s">
        <v>90</v>
      </c>
      <c r="BF80" t="s">
        <v>82</v>
      </c>
      <c r="BG80" t="s">
        <v>82</v>
      </c>
      <c r="BH80" t="s">
        <v>82</v>
      </c>
      <c r="BI80" t="s">
        <v>82</v>
      </c>
      <c r="BJ80" t="s">
        <v>82</v>
      </c>
      <c r="BK80" t="s">
        <v>82</v>
      </c>
      <c r="BL80" t="s">
        <v>90</v>
      </c>
      <c r="BM80" t="s">
        <v>888</v>
      </c>
      <c r="BN80" t="s">
        <v>889</v>
      </c>
    </row>
    <row r="81" spans="1:66" x14ac:dyDescent="0.35">
      <c r="A81">
        <v>192274</v>
      </c>
      <c r="B81" t="s">
        <v>890</v>
      </c>
      <c r="C81" t="s">
        <v>65</v>
      </c>
      <c r="D81" t="s">
        <v>66</v>
      </c>
      <c r="E81" t="s">
        <v>67</v>
      </c>
      <c r="F81" t="s">
        <v>123</v>
      </c>
      <c r="G81" t="s">
        <v>69</v>
      </c>
      <c r="H81" t="s">
        <v>70</v>
      </c>
      <c r="I81" t="s">
        <v>891</v>
      </c>
      <c r="J81" t="s">
        <v>892</v>
      </c>
      <c r="K81" t="s">
        <v>893</v>
      </c>
      <c r="L81" t="s">
        <v>893</v>
      </c>
      <c r="M81" t="s">
        <v>894</v>
      </c>
      <c r="N81" t="s">
        <v>82</v>
      </c>
      <c r="O81" t="s">
        <v>77</v>
      </c>
      <c r="P81" s="2">
        <f t="shared" si="2"/>
        <v>0</v>
      </c>
      <c r="Q81" t="s">
        <v>78</v>
      </c>
      <c r="R81" s="2">
        <f t="shared" si="3"/>
        <v>3.2222222222222222E-2</v>
      </c>
      <c r="S81" t="s">
        <v>895</v>
      </c>
      <c r="T81">
        <v>0</v>
      </c>
      <c r="U81">
        <v>1</v>
      </c>
      <c r="V81" t="s">
        <v>80</v>
      </c>
      <c r="W81" t="s">
        <v>82</v>
      </c>
      <c r="X81" t="s">
        <v>81</v>
      </c>
      <c r="Y81" t="s">
        <v>82</v>
      </c>
      <c r="Z81" t="s">
        <v>82</v>
      </c>
      <c r="AA81" t="s">
        <v>83</v>
      </c>
      <c r="AB81" t="s">
        <v>84</v>
      </c>
      <c r="AC81" t="s">
        <v>82</v>
      </c>
      <c r="AD81" t="s">
        <v>85</v>
      </c>
      <c r="AE81" t="s">
        <v>82</v>
      </c>
      <c r="AF81" t="s">
        <v>82</v>
      </c>
      <c r="AG81" t="s">
        <v>87</v>
      </c>
      <c r="AH81" t="s">
        <v>82</v>
      </c>
      <c r="AI81" t="s">
        <v>129</v>
      </c>
      <c r="AJ81" t="s">
        <v>82</v>
      </c>
      <c r="AK81" t="s">
        <v>82</v>
      </c>
      <c r="AL81" t="s">
        <v>82</v>
      </c>
      <c r="AM81" t="s">
        <v>82</v>
      </c>
      <c r="AN81" t="s">
        <v>82</v>
      </c>
      <c r="AO81" t="s">
        <v>82</v>
      </c>
      <c r="AP81" t="s">
        <v>82</v>
      </c>
      <c r="AQ81" t="s">
        <v>82</v>
      </c>
      <c r="AR81" t="s">
        <v>82</v>
      </c>
      <c r="AS81" t="s">
        <v>130</v>
      </c>
      <c r="AT81" t="s">
        <v>129</v>
      </c>
      <c r="AU81" t="s">
        <v>82</v>
      </c>
      <c r="AV81" t="s">
        <v>90</v>
      </c>
      <c r="AW81" t="s">
        <v>90</v>
      </c>
      <c r="AX81" t="s">
        <v>82</v>
      </c>
      <c r="AY81" t="s">
        <v>82</v>
      </c>
      <c r="AZ81" t="s">
        <v>90</v>
      </c>
      <c r="BA81" t="s">
        <v>90</v>
      </c>
      <c r="BB81" t="s">
        <v>90</v>
      </c>
      <c r="BC81" t="s">
        <v>90</v>
      </c>
      <c r="BD81" t="s">
        <v>82</v>
      </c>
      <c r="BE81" t="s">
        <v>90</v>
      </c>
      <c r="BF81" t="s">
        <v>82</v>
      </c>
      <c r="BG81" t="s">
        <v>82</v>
      </c>
      <c r="BH81" t="s">
        <v>82</v>
      </c>
      <c r="BI81" t="s">
        <v>82</v>
      </c>
      <c r="BJ81" t="s">
        <v>82</v>
      </c>
      <c r="BK81" t="s">
        <v>82</v>
      </c>
      <c r="BL81" t="s">
        <v>90</v>
      </c>
      <c r="BM81" t="s">
        <v>770</v>
      </c>
      <c r="BN81" t="s">
        <v>771</v>
      </c>
    </row>
    <row r="82" spans="1:66" x14ac:dyDescent="0.35">
      <c r="A82">
        <v>192275</v>
      </c>
      <c r="B82" t="s">
        <v>896</v>
      </c>
      <c r="C82" t="s">
        <v>65</v>
      </c>
      <c r="D82" t="s">
        <v>66</v>
      </c>
      <c r="E82" t="s">
        <v>67</v>
      </c>
      <c r="F82" t="s">
        <v>123</v>
      </c>
      <c r="G82" t="s">
        <v>69</v>
      </c>
      <c r="H82" t="s">
        <v>70</v>
      </c>
      <c r="I82" t="s">
        <v>897</v>
      </c>
      <c r="J82" t="s">
        <v>898</v>
      </c>
      <c r="K82" t="s">
        <v>899</v>
      </c>
      <c r="L82" t="s">
        <v>899</v>
      </c>
      <c r="M82" t="s">
        <v>900</v>
      </c>
      <c r="N82" t="s">
        <v>82</v>
      </c>
      <c r="O82" t="s">
        <v>77</v>
      </c>
      <c r="P82" s="2">
        <f t="shared" si="2"/>
        <v>0</v>
      </c>
      <c r="Q82" t="s">
        <v>78</v>
      </c>
      <c r="R82" s="2">
        <f t="shared" si="3"/>
        <v>1.0613888888888889</v>
      </c>
      <c r="S82" t="s">
        <v>901</v>
      </c>
      <c r="T82">
        <v>0</v>
      </c>
      <c r="U82">
        <v>1</v>
      </c>
      <c r="V82" t="s">
        <v>80</v>
      </c>
      <c r="W82" t="s">
        <v>82</v>
      </c>
      <c r="X82" t="s">
        <v>81</v>
      </c>
      <c r="Y82" t="s">
        <v>82</v>
      </c>
      <c r="Z82" t="s">
        <v>82</v>
      </c>
      <c r="AA82" t="s">
        <v>83</v>
      </c>
      <c r="AB82" t="s">
        <v>84</v>
      </c>
      <c r="AC82" t="s">
        <v>82</v>
      </c>
      <c r="AD82" t="s">
        <v>85</v>
      </c>
      <c r="AE82" t="s">
        <v>82</v>
      </c>
      <c r="AF82" t="s">
        <v>82</v>
      </c>
      <c r="AG82" t="s">
        <v>87</v>
      </c>
      <c r="AH82" t="s">
        <v>82</v>
      </c>
      <c r="AI82" t="s">
        <v>129</v>
      </c>
      <c r="AJ82" t="s">
        <v>82</v>
      </c>
      <c r="AK82" t="s">
        <v>82</v>
      </c>
      <c r="AL82" t="s">
        <v>82</v>
      </c>
      <c r="AM82" t="s">
        <v>82</v>
      </c>
      <c r="AN82" t="s">
        <v>82</v>
      </c>
      <c r="AO82" t="s">
        <v>82</v>
      </c>
      <c r="AP82" t="s">
        <v>82</v>
      </c>
      <c r="AQ82" t="s">
        <v>82</v>
      </c>
      <c r="AR82" t="s">
        <v>82</v>
      </c>
      <c r="AS82" t="s">
        <v>130</v>
      </c>
      <c r="AT82" t="s">
        <v>129</v>
      </c>
      <c r="AU82" t="s">
        <v>82</v>
      </c>
      <c r="AV82" t="s">
        <v>90</v>
      </c>
      <c r="AW82" t="s">
        <v>90</v>
      </c>
      <c r="AX82" t="s">
        <v>82</v>
      </c>
      <c r="AY82" t="s">
        <v>82</v>
      </c>
      <c r="AZ82" t="s">
        <v>90</v>
      </c>
      <c r="BA82" t="s">
        <v>90</v>
      </c>
      <c r="BB82" t="s">
        <v>90</v>
      </c>
      <c r="BC82" t="s">
        <v>90</v>
      </c>
      <c r="BD82" t="s">
        <v>82</v>
      </c>
      <c r="BE82" t="s">
        <v>90</v>
      </c>
      <c r="BF82" t="s">
        <v>82</v>
      </c>
      <c r="BG82" t="s">
        <v>82</v>
      </c>
      <c r="BH82" t="s">
        <v>82</v>
      </c>
      <c r="BI82" t="s">
        <v>82</v>
      </c>
      <c r="BJ82" t="s">
        <v>82</v>
      </c>
      <c r="BK82" t="s">
        <v>82</v>
      </c>
      <c r="BL82" t="s">
        <v>90</v>
      </c>
      <c r="BM82" t="s">
        <v>139</v>
      </c>
      <c r="BN82" t="s">
        <v>902</v>
      </c>
    </row>
    <row r="83" spans="1:66" x14ac:dyDescent="0.35">
      <c r="A83">
        <v>192283</v>
      </c>
      <c r="B83" t="s">
        <v>896</v>
      </c>
      <c r="C83" t="s">
        <v>65</v>
      </c>
      <c r="D83" t="s">
        <v>66</v>
      </c>
      <c r="E83" t="s">
        <v>67</v>
      </c>
      <c r="F83" t="s">
        <v>123</v>
      </c>
      <c r="G83" t="s">
        <v>69</v>
      </c>
      <c r="H83" t="s">
        <v>70</v>
      </c>
      <c r="I83" t="s">
        <v>903</v>
      </c>
      <c r="J83" t="s">
        <v>904</v>
      </c>
      <c r="K83" t="s">
        <v>905</v>
      </c>
      <c r="L83" t="s">
        <v>905</v>
      </c>
      <c r="M83" t="s">
        <v>900</v>
      </c>
      <c r="N83" t="s">
        <v>82</v>
      </c>
      <c r="O83" t="s">
        <v>77</v>
      </c>
      <c r="P83" s="2">
        <f t="shared" si="2"/>
        <v>0</v>
      </c>
      <c r="Q83" t="s">
        <v>78</v>
      </c>
      <c r="R83" s="2">
        <f t="shared" si="3"/>
        <v>0.57055555555555559</v>
      </c>
      <c r="S83" t="s">
        <v>906</v>
      </c>
      <c r="T83">
        <v>0</v>
      </c>
      <c r="U83">
        <v>1</v>
      </c>
      <c r="V83" t="s">
        <v>80</v>
      </c>
      <c r="W83" t="s">
        <v>82</v>
      </c>
      <c r="X83" t="s">
        <v>81</v>
      </c>
      <c r="Y83" t="s">
        <v>82</v>
      </c>
      <c r="Z83" t="s">
        <v>82</v>
      </c>
      <c r="AA83" t="s">
        <v>83</v>
      </c>
      <c r="AB83" t="s">
        <v>84</v>
      </c>
      <c r="AC83" t="s">
        <v>82</v>
      </c>
      <c r="AD83" t="s">
        <v>85</v>
      </c>
      <c r="AE83" t="s">
        <v>82</v>
      </c>
      <c r="AF83" t="s">
        <v>82</v>
      </c>
      <c r="AG83" t="s">
        <v>87</v>
      </c>
      <c r="AH83" t="s">
        <v>82</v>
      </c>
      <c r="AI83" t="s">
        <v>129</v>
      </c>
      <c r="AJ83" t="s">
        <v>82</v>
      </c>
      <c r="AK83" t="s">
        <v>82</v>
      </c>
      <c r="AL83" t="s">
        <v>82</v>
      </c>
      <c r="AM83" t="s">
        <v>82</v>
      </c>
      <c r="AN83" t="s">
        <v>82</v>
      </c>
      <c r="AO83" t="s">
        <v>82</v>
      </c>
      <c r="AP83" t="s">
        <v>82</v>
      </c>
      <c r="AQ83" t="s">
        <v>82</v>
      </c>
      <c r="AR83" t="s">
        <v>82</v>
      </c>
      <c r="AS83" t="s">
        <v>130</v>
      </c>
      <c r="AT83" t="s">
        <v>129</v>
      </c>
      <c r="AU83" t="s">
        <v>82</v>
      </c>
      <c r="AV83" t="s">
        <v>90</v>
      </c>
      <c r="AW83" t="s">
        <v>90</v>
      </c>
      <c r="AX83" t="s">
        <v>82</v>
      </c>
      <c r="AY83" t="s">
        <v>82</v>
      </c>
      <c r="AZ83" t="s">
        <v>90</v>
      </c>
      <c r="BA83" t="s">
        <v>90</v>
      </c>
      <c r="BB83" t="s">
        <v>90</v>
      </c>
      <c r="BC83" t="s">
        <v>90</v>
      </c>
      <c r="BD83" t="s">
        <v>82</v>
      </c>
      <c r="BE83" t="s">
        <v>90</v>
      </c>
      <c r="BF83" t="s">
        <v>82</v>
      </c>
      <c r="BG83" t="s">
        <v>82</v>
      </c>
      <c r="BH83" t="s">
        <v>82</v>
      </c>
      <c r="BI83" t="s">
        <v>82</v>
      </c>
      <c r="BJ83" t="s">
        <v>82</v>
      </c>
      <c r="BK83" t="s">
        <v>82</v>
      </c>
      <c r="BL83" t="s">
        <v>90</v>
      </c>
      <c r="BM83" t="s">
        <v>139</v>
      </c>
      <c r="BN83" t="s">
        <v>907</v>
      </c>
    </row>
    <row r="84" spans="1:66" x14ac:dyDescent="0.35">
      <c r="A84">
        <v>192334</v>
      </c>
      <c r="B84" t="s">
        <v>908</v>
      </c>
      <c r="C84" t="s">
        <v>65</v>
      </c>
      <c r="D84" t="s">
        <v>150</v>
      </c>
      <c r="E84" t="s">
        <v>67</v>
      </c>
      <c r="F84" t="s">
        <v>158</v>
      </c>
      <c r="G84" t="s">
        <v>69</v>
      </c>
      <c r="H84" t="s">
        <v>70</v>
      </c>
      <c r="I84" t="s">
        <v>909</v>
      </c>
      <c r="J84" t="s">
        <v>910</v>
      </c>
      <c r="K84" t="s">
        <v>911</v>
      </c>
      <c r="L84" t="s">
        <v>911</v>
      </c>
      <c r="M84" t="s">
        <v>912</v>
      </c>
      <c r="N84" t="s">
        <v>913</v>
      </c>
      <c r="O84" t="s">
        <v>77</v>
      </c>
      <c r="P84" s="2">
        <f t="shared" si="2"/>
        <v>3.9166666666666665</v>
      </c>
      <c r="Q84" t="s">
        <v>914</v>
      </c>
      <c r="R84" s="2">
        <f t="shared" si="3"/>
        <v>16.833333333333332</v>
      </c>
      <c r="S84" t="s">
        <v>915</v>
      </c>
      <c r="T84">
        <v>3</v>
      </c>
      <c r="U84">
        <v>1</v>
      </c>
      <c r="V84" t="s">
        <v>80</v>
      </c>
      <c r="W84" t="s">
        <v>80</v>
      </c>
      <c r="X84" t="s">
        <v>156</v>
      </c>
      <c r="Y84" t="s">
        <v>82</v>
      </c>
      <c r="Z84" t="s">
        <v>82</v>
      </c>
      <c r="AA84" t="s">
        <v>83</v>
      </c>
      <c r="AB84" t="s">
        <v>84</v>
      </c>
      <c r="AC84" t="s">
        <v>82</v>
      </c>
      <c r="AD84" t="s">
        <v>85</v>
      </c>
      <c r="AE84" t="s">
        <v>916</v>
      </c>
      <c r="AF84" t="s">
        <v>82</v>
      </c>
      <c r="AG84" t="s">
        <v>87</v>
      </c>
      <c r="AH84" t="s">
        <v>242</v>
      </c>
      <c r="AI84" t="s">
        <v>243</v>
      </c>
      <c r="AJ84" t="s">
        <v>82</v>
      </c>
      <c r="AK84" t="s">
        <v>82</v>
      </c>
      <c r="AL84" t="s">
        <v>82</v>
      </c>
      <c r="AM84" t="s">
        <v>82</v>
      </c>
      <c r="AN84" t="s">
        <v>169</v>
      </c>
      <c r="AO84" t="s">
        <v>82</v>
      </c>
      <c r="AP84" t="s">
        <v>82</v>
      </c>
      <c r="AQ84" t="s">
        <v>82</v>
      </c>
      <c r="AR84" t="s">
        <v>82</v>
      </c>
      <c r="AS84" t="s">
        <v>88</v>
      </c>
      <c r="AT84" t="s">
        <v>242</v>
      </c>
      <c r="AU84" t="s">
        <v>6</v>
      </c>
      <c r="AV84" t="s">
        <v>90</v>
      </c>
      <c r="AW84" t="s">
        <v>90</v>
      </c>
      <c r="AX84" t="s">
        <v>82</v>
      </c>
      <c r="AY84" t="s">
        <v>82</v>
      </c>
      <c r="AZ84" t="s">
        <v>90</v>
      </c>
      <c r="BA84" t="s">
        <v>90</v>
      </c>
      <c r="BB84" t="s">
        <v>90</v>
      </c>
      <c r="BC84" t="s">
        <v>91</v>
      </c>
      <c r="BD84" t="s">
        <v>82</v>
      </c>
      <c r="BE84" t="s">
        <v>90</v>
      </c>
      <c r="BF84" t="s">
        <v>82</v>
      </c>
      <c r="BG84" t="s">
        <v>82</v>
      </c>
      <c r="BH84" t="s">
        <v>82</v>
      </c>
      <c r="BI84" t="s">
        <v>82</v>
      </c>
      <c r="BJ84" t="s">
        <v>82</v>
      </c>
      <c r="BK84" t="s">
        <v>82</v>
      </c>
      <c r="BL84" t="s">
        <v>90</v>
      </c>
      <c r="BM84" t="s">
        <v>244</v>
      </c>
      <c r="BN84" t="s">
        <v>245</v>
      </c>
    </row>
    <row r="85" spans="1:66" x14ac:dyDescent="0.35">
      <c r="A85">
        <v>192411</v>
      </c>
      <c r="B85" t="s">
        <v>896</v>
      </c>
      <c r="C85" t="s">
        <v>65</v>
      </c>
      <c r="D85" t="s">
        <v>66</v>
      </c>
      <c r="E85" t="s">
        <v>67</v>
      </c>
      <c r="F85" t="s">
        <v>123</v>
      </c>
      <c r="G85" t="s">
        <v>69</v>
      </c>
      <c r="H85" t="s">
        <v>70</v>
      </c>
      <c r="I85" t="s">
        <v>917</v>
      </c>
      <c r="J85" t="s">
        <v>918</v>
      </c>
      <c r="K85" t="s">
        <v>919</v>
      </c>
      <c r="L85" t="s">
        <v>919</v>
      </c>
      <c r="M85" t="s">
        <v>920</v>
      </c>
      <c r="N85" t="s">
        <v>82</v>
      </c>
      <c r="O85" t="s">
        <v>77</v>
      </c>
      <c r="P85" s="2">
        <f t="shared" si="2"/>
        <v>0</v>
      </c>
      <c r="Q85" t="s">
        <v>78</v>
      </c>
      <c r="R85" s="2">
        <f t="shared" si="3"/>
        <v>0.08</v>
      </c>
      <c r="S85" t="s">
        <v>921</v>
      </c>
      <c r="T85">
        <v>0</v>
      </c>
      <c r="U85">
        <v>1</v>
      </c>
      <c r="V85" t="s">
        <v>80</v>
      </c>
      <c r="W85" t="s">
        <v>82</v>
      </c>
      <c r="X85" t="s">
        <v>81</v>
      </c>
      <c r="Y85" t="s">
        <v>82</v>
      </c>
      <c r="Z85" t="s">
        <v>82</v>
      </c>
      <c r="AA85" t="s">
        <v>83</v>
      </c>
      <c r="AB85" t="s">
        <v>84</v>
      </c>
      <c r="AC85" t="s">
        <v>82</v>
      </c>
      <c r="AD85" t="s">
        <v>85</v>
      </c>
      <c r="AE85" t="s">
        <v>82</v>
      </c>
      <c r="AF85" t="s">
        <v>82</v>
      </c>
      <c r="AG85" t="s">
        <v>87</v>
      </c>
      <c r="AH85" t="s">
        <v>82</v>
      </c>
      <c r="AI85" t="s">
        <v>129</v>
      </c>
      <c r="AJ85" t="s">
        <v>82</v>
      </c>
      <c r="AK85" t="s">
        <v>82</v>
      </c>
      <c r="AL85" t="s">
        <v>82</v>
      </c>
      <c r="AM85" t="s">
        <v>82</v>
      </c>
      <c r="AN85" t="s">
        <v>82</v>
      </c>
      <c r="AO85" t="s">
        <v>82</v>
      </c>
      <c r="AP85" t="s">
        <v>82</v>
      </c>
      <c r="AQ85" t="s">
        <v>82</v>
      </c>
      <c r="AR85" t="s">
        <v>82</v>
      </c>
      <c r="AS85" t="s">
        <v>130</v>
      </c>
      <c r="AT85" t="s">
        <v>129</v>
      </c>
      <c r="AU85" t="s">
        <v>82</v>
      </c>
      <c r="AV85" t="s">
        <v>90</v>
      </c>
      <c r="AW85" t="s">
        <v>90</v>
      </c>
      <c r="AX85" t="s">
        <v>82</v>
      </c>
      <c r="AY85" t="s">
        <v>82</v>
      </c>
      <c r="AZ85" t="s">
        <v>90</v>
      </c>
      <c r="BA85" t="s">
        <v>90</v>
      </c>
      <c r="BB85" t="s">
        <v>90</v>
      </c>
      <c r="BC85" t="s">
        <v>90</v>
      </c>
      <c r="BD85" t="s">
        <v>82</v>
      </c>
      <c r="BE85" t="s">
        <v>90</v>
      </c>
      <c r="BF85" t="s">
        <v>82</v>
      </c>
      <c r="BG85" t="s">
        <v>82</v>
      </c>
      <c r="BH85" t="s">
        <v>82</v>
      </c>
      <c r="BI85" t="s">
        <v>82</v>
      </c>
      <c r="BJ85" t="s">
        <v>82</v>
      </c>
      <c r="BK85" t="s">
        <v>82</v>
      </c>
      <c r="BL85" t="s">
        <v>90</v>
      </c>
      <c r="BM85" t="s">
        <v>139</v>
      </c>
      <c r="BN85" t="s">
        <v>922</v>
      </c>
    </row>
    <row r="86" spans="1:66" x14ac:dyDescent="0.35">
      <c r="A86">
        <v>192865</v>
      </c>
      <c r="B86" t="s">
        <v>923</v>
      </c>
      <c r="C86" t="s">
        <v>65</v>
      </c>
      <c r="D86" t="s">
        <v>66</v>
      </c>
      <c r="E86" t="s">
        <v>95</v>
      </c>
      <c r="F86" t="s">
        <v>87</v>
      </c>
      <c r="G86" t="s">
        <v>69</v>
      </c>
      <c r="H86" t="s">
        <v>70</v>
      </c>
      <c r="I86" t="s">
        <v>924</v>
      </c>
      <c r="J86" t="s">
        <v>925</v>
      </c>
      <c r="K86" t="s">
        <v>926</v>
      </c>
      <c r="L86" t="s">
        <v>927</v>
      </c>
      <c r="M86" t="s">
        <v>928</v>
      </c>
      <c r="N86" t="s">
        <v>929</v>
      </c>
      <c r="O86" t="s">
        <v>77</v>
      </c>
      <c r="P86" s="2">
        <f t="shared" si="2"/>
        <v>51.266666666666666</v>
      </c>
      <c r="Q86" t="s">
        <v>930</v>
      </c>
      <c r="R86" s="2">
        <f t="shared" si="3"/>
        <v>104.91027777777778</v>
      </c>
      <c r="S86" t="s">
        <v>931</v>
      </c>
      <c r="T86">
        <v>5</v>
      </c>
      <c r="U86">
        <v>5</v>
      </c>
      <c r="V86" t="s">
        <v>80</v>
      </c>
      <c r="W86" t="s">
        <v>80</v>
      </c>
      <c r="X86" t="s">
        <v>81</v>
      </c>
      <c r="Y86" t="s">
        <v>82</v>
      </c>
      <c r="Z86" t="s">
        <v>82</v>
      </c>
      <c r="AA86" t="s">
        <v>83</v>
      </c>
      <c r="AB86" t="s">
        <v>84</v>
      </c>
      <c r="AC86" t="s">
        <v>82</v>
      </c>
      <c r="AD86" t="s">
        <v>85</v>
      </c>
      <c r="AE86" t="s">
        <v>932</v>
      </c>
      <c r="AF86" t="s">
        <v>82</v>
      </c>
      <c r="AG86" t="s">
        <v>87</v>
      </c>
      <c r="AH86" t="s">
        <v>933</v>
      </c>
      <c r="AI86" t="s">
        <v>934</v>
      </c>
      <c r="AJ86" t="s">
        <v>82</v>
      </c>
      <c r="AK86" t="s">
        <v>82</v>
      </c>
      <c r="AL86" t="s">
        <v>82</v>
      </c>
      <c r="AM86" t="s">
        <v>82</v>
      </c>
      <c r="AN86" t="s">
        <v>82</v>
      </c>
      <c r="AO86" t="s">
        <v>82</v>
      </c>
      <c r="AP86" t="s">
        <v>82</v>
      </c>
      <c r="AQ86" t="s">
        <v>82</v>
      </c>
      <c r="AR86" t="s">
        <v>82</v>
      </c>
      <c r="AS86" t="s">
        <v>88</v>
      </c>
      <c r="AT86" t="s">
        <v>933</v>
      </c>
      <c r="AU86" t="s">
        <v>6</v>
      </c>
      <c r="AV86" t="s">
        <v>90</v>
      </c>
      <c r="AW86" t="s">
        <v>91</v>
      </c>
      <c r="AX86" t="s">
        <v>82</v>
      </c>
      <c r="AY86" t="s">
        <v>82</v>
      </c>
      <c r="AZ86" t="s">
        <v>90</v>
      </c>
      <c r="BA86" t="s">
        <v>90</v>
      </c>
      <c r="BB86" t="s">
        <v>91</v>
      </c>
      <c r="BC86" t="s">
        <v>91</v>
      </c>
      <c r="BD86" t="s">
        <v>82</v>
      </c>
      <c r="BE86" t="s">
        <v>90</v>
      </c>
      <c r="BF86" t="s">
        <v>82</v>
      </c>
      <c r="BG86" t="s">
        <v>82</v>
      </c>
      <c r="BH86" t="s">
        <v>82</v>
      </c>
      <c r="BI86" t="s">
        <v>82</v>
      </c>
      <c r="BJ86" t="s">
        <v>82</v>
      </c>
      <c r="BK86" t="s">
        <v>82</v>
      </c>
      <c r="BL86" t="s">
        <v>90</v>
      </c>
      <c r="BM86" t="s">
        <v>933</v>
      </c>
      <c r="BN86" t="s">
        <v>935</v>
      </c>
    </row>
    <row r="87" spans="1:66" x14ac:dyDescent="0.35">
      <c r="A87">
        <v>193167</v>
      </c>
      <c r="B87" t="s">
        <v>936</v>
      </c>
      <c r="C87" t="s">
        <v>65</v>
      </c>
      <c r="D87" t="s">
        <v>66</v>
      </c>
      <c r="E87" t="s">
        <v>67</v>
      </c>
      <c r="F87" t="s">
        <v>158</v>
      </c>
      <c r="G87" t="s">
        <v>69</v>
      </c>
      <c r="H87" t="s">
        <v>70</v>
      </c>
      <c r="I87" t="s">
        <v>937</v>
      </c>
      <c r="J87" t="s">
        <v>938</v>
      </c>
      <c r="K87" t="s">
        <v>939</v>
      </c>
      <c r="L87" t="s">
        <v>939</v>
      </c>
      <c r="M87" t="s">
        <v>940</v>
      </c>
      <c r="N87" t="s">
        <v>941</v>
      </c>
      <c r="O87" t="s">
        <v>77</v>
      </c>
      <c r="P87" s="2">
        <f t="shared" si="2"/>
        <v>398.7166666666667</v>
      </c>
      <c r="Q87" t="s">
        <v>942</v>
      </c>
      <c r="R87" s="2">
        <f t="shared" si="3"/>
        <v>35.592777777777776</v>
      </c>
      <c r="S87" t="s">
        <v>943</v>
      </c>
      <c r="T87">
        <v>4</v>
      </c>
      <c r="U87">
        <v>8</v>
      </c>
      <c r="V87" t="s">
        <v>80</v>
      </c>
      <c r="W87" t="s">
        <v>80</v>
      </c>
      <c r="X87" t="s">
        <v>81</v>
      </c>
      <c r="Y87" t="s">
        <v>82</v>
      </c>
      <c r="Z87" t="s">
        <v>82</v>
      </c>
      <c r="AA87" t="s">
        <v>83</v>
      </c>
      <c r="AB87" t="s">
        <v>84</v>
      </c>
      <c r="AC87" t="s">
        <v>82</v>
      </c>
      <c r="AD87" t="s">
        <v>85</v>
      </c>
      <c r="AE87" t="s">
        <v>82</v>
      </c>
      <c r="AF87" t="s">
        <v>82</v>
      </c>
      <c r="AG87" t="s">
        <v>87</v>
      </c>
      <c r="AH87" t="s">
        <v>82</v>
      </c>
      <c r="AI87" t="s">
        <v>944</v>
      </c>
      <c r="AJ87" t="s">
        <v>82</v>
      </c>
      <c r="AK87" t="s">
        <v>82</v>
      </c>
      <c r="AL87" t="s">
        <v>82</v>
      </c>
      <c r="AM87" t="s">
        <v>82</v>
      </c>
      <c r="AN87" t="s">
        <v>169</v>
      </c>
      <c r="AO87" t="s">
        <v>82</v>
      </c>
      <c r="AP87" t="s">
        <v>82</v>
      </c>
      <c r="AQ87" t="s">
        <v>82</v>
      </c>
      <c r="AR87" t="s">
        <v>82</v>
      </c>
      <c r="AS87" t="s">
        <v>130</v>
      </c>
      <c r="AT87" t="s">
        <v>945</v>
      </c>
      <c r="AU87" t="s">
        <v>6</v>
      </c>
      <c r="AV87" t="s">
        <v>90</v>
      </c>
      <c r="AW87" t="s">
        <v>90</v>
      </c>
      <c r="AX87" t="s">
        <v>82</v>
      </c>
      <c r="AY87" t="s">
        <v>82</v>
      </c>
      <c r="AZ87" t="s">
        <v>90</v>
      </c>
      <c r="BA87" t="s">
        <v>90</v>
      </c>
      <c r="BB87" t="s">
        <v>90</v>
      </c>
      <c r="BC87" t="s">
        <v>90</v>
      </c>
      <c r="BD87" t="s">
        <v>82</v>
      </c>
      <c r="BE87" t="s">
        <v>91</v>
      </c>
      <c r="BF87" t="s">
        <v>82</v>
      </c>
      <c r="BG87" t="s">
        <v>82</v>
      </c>
      <c r="BH87" t="s">
        <v>82</v>
      </c>
      <c r="BI87" t="s">
        <v>82</v>
      </c>
      <c r="BJ87" t="s">
        <v>82</v>
      </c>
      <c r="BK87" t="s">
        <v>82</v>
      </c>
      <c r="BL87" t="s">
        <v>90</v>
      </c>
      <c r="BM87" t="s">
        <v>170</v>
      </c>
      <c r="BN87" t="s">
        <v>171</v>
      </c>
    </row>
    <row r="88" spans="1:66" x14ac:dyDescent="0.35">
      <c r="A88">
        <v>193210</v>
      </c>
      <c r="B88" t="s">
        <v>946</v>
      </c>
      <c r="C88" t="s">
        <v>65</v>
      </c>
      <c r="D88" t="s">
        <v>66</v>
      </c>
      <c r="E88" t="s">
        <v>67</v>
      </c>
      <c r="F88" t="s">
        <v>158</v>
      </c>
      <c r="G88" t="s">
        <v>69</v>
      </c>
      <c r="H88" t="s">
        <v>70</v>
      </c>
      <c r="I88" t="s">
        <v>947</v>
      </c>
      <c r="J88" t="s">
        <v>948</v>
      </c>
      <c r="K88" t="s">
        <v>949</v>
      </c>
      <c r="L88" t="s">
        <v>949</v>
      </c>
      <c r="M88" t="s">
        <v>950</v>
      </c>
      <c r="N88" t="s">
        <v>951</v>
      </c>
      <c r="O88" t="s">
        <v>77</v>
      </c>
      <c r="P88" s="2">
        <f t="shared" si="2"/>
        <v>37.466666666666669</v>
      </c>
      <c r="Q88" t="s">
        <v>348</v>
      </c>
      <c r="R88" s="2">
        <f t="shared" si="3"/>
        <v>0.62861111111111112</v>
      </c>
      <c r="S88" t="s">
        <v>952</v>
      </c>
      <c r="T88">
        <v>1</v>
      </c>
      <c r="U88">
        <v>1</v>
      </c>
      <c r="V88" t="s">
        <v>80</v>
      </c>
      <c r="W88" t="s">
        <v>80</v>
      </c>
      <c r="X88" t="s">
        <v>81</v>
      </c>
      <c r="Y88" t="s">
        <v>82</v>
      </c>
      <c r="Z88" t="s">
        <v>82</v>
      </c>
      <c r="AA88" t="s">
        <v>83</v>
      </c>
      <c r="AB88" t="s">
        <v>84</v>
      </c>
      <c r="AC88" t="s">
        <v>82</v>
      </c>
      <c r="AD88" t="s">
        <v>85</v>
      </c>
      <c r="AE88" t="s">
        <v>953</v>
      </c>
      <c r="AF88" t="s">
        <v>82</v>
      </c>
      <c r="AG88" t="s">
        <v>87</v>
      </c>
      <c r="AH88" t="s">
        <v>338</v>
      </c>
      <c r="AI88" t="s">
        <v>338</v>
      </c>
      <c r="AJ88" t="s">
        <v>82</v>
      </c>
      <c r="AK88" t="s">
        <v>82</v>
      </c>
      <c r="AL88" t="s">
        <v>82</v>
      </c>
      <c r="AM88" t="s">
        <v>82</v>
      </c>
      <c r="AN88" t="s">
        <v>954</v>
      </c>
      <c r="AO88" t="s">
        <v>82</v>
      </c>
      <c r="AP88" t="s">
        <v>82</v>
      </c>
      <c r="AQ88" t="s">
        <v>82</v>
      </c>
      <c r="AR88" t="s">
        <v>82</v>
      </c>
      <c r="AS88" t="s">
        <v>88</v>
      </c>
      <c r="AT88" t="s">
        <v>338</v>
      </c>
      <c r="AU88" t="s">
        <v>6</v>
      </c>
      <c r="AV88" t="s">
        <v>90</v>
      </c>
      <c r="AW88" t="s">
        <v>90</v>
      </c>
      <c r="AX88" t="s">
        <v>82</v>
      </c>
      <c r="AY88" t="s">
        <v>82</v>
      </c>
      <c r="AZ88" t="s">
        <v>90</v>
      </c>
      <c r="BA88" t="s">
        <v>90</v>
      </c>
      <c r="BB88" t="s">
        <v>90</v>
      </c>
      <c r="BC88" t="s">
        <v>90</v>
      </c>
      <c r="BD88" t="s">
        <v>82</v>
      </c>
      <c r="BE88" t="s">
        <v>90</v>
      </c>
      <c r="BF88" t="s">
        <v>82</v>
      </c>
      <c r="BG88" t="s">
        <v>82</v>
      </c>
      <c r="BH88" t="s">
        <v>82</v>
      </c>
      <c r="BI88" t="s">
        <v>82</v>
      </c>
      <c r="BJ88" t="s">
        <v>82</v>
      </c>
      <c r="BK88" t="s">
        <v>82</v>
      </c>
      <c r="BL88" t="s">
        <v>90</v>
      </c>
      <c r="BM88" t="s">
        <v>955</v>
      </c>
      <c r="BN88" t="s">
        <v>956</v>
      </c>
    </row>
    <row r="89" spans="1:66" x14ac:dyDescent="0.35">
      <c r="A89">
        <v>193371</v>
      </c>
      <c r="B89" t="s">
        <v>957</v>
      </c>
      <c r="C89" t="s">
        <v>65</v>
      </c>
      <c r="D89" t="s">
        <v>66</v>
      </c>
      <c r="E89" t="s">
        <v>67</v>
      </c>
      <c r="F89" t="s">
        <v>82</v>
      </c>
      <c r="G89" t="s">
        <v>69</v>
      </c>
      <c r="H89" t="s">
        <v>70</v>
      </c>
      <c r="I89" t="s">
        <v>958</v>
      </c>
      <c r="J89" t="s">
        <v>959</v>
      </c>
      <c r="K89" t="s">
        <v>960</v>
      </c>
      <c r="L89" t="s">
        <v>961</v>
      </c>
      <c r="M89" t="s">
        <v>962</v>
      </c>
      <c r="N89" t="s">
        <v>963</v>
      </c>
      <c r="O89" t="s">
        <v>77</v>
      </c>
      <c r="P89" s="2">
        <f t="shared" si="2"/>
        <v>19.666666666666668</v>
      </c>
      <c r="Q89" t="s">
        <v>964</v>
      </c>
      <c r="R89" s="2">
        <f t="shared" si="3"/>
        <v>19.897777777777776</v>
      </c>
      <c r="S89" t="s">
        <v>965</v>
      </c>
      <c r="T89">
        <v>1</v>
      </c>
      <c r="U89">
        <v>1</v>
      </c>
      <c r="V89" t="s">
        <v>80</v>
      </c>
      <c r="W89" t="s">
        <v>80</v>
      </c>
      <c r="X89" t="s">
        <v>81</v>
      </c>
      <c r="Y89" t="s">
        <v>82</v>
      </c>
      <c r="Z89" t="s">
        <v>82</v>
      </c>
      <c r="AA89" t="s">
        <v>83</v>
      </c>
      <c r="AB89" t="s">
        <v>84</v>
      </c>
      <c r="AC89" t="s">
        <v>82</v>
      </c>
      <c r="AD89" t="s">
        <v>85</v>
      </c>
      <c r="AE89" t="s">
        <v>82</v>
      </c>
      <c r="AF89" t="s">
        <v>82</v>
      </c>
      <c r="AG89" t="s">
        <v>87</v>
      </c>
      <c r="AH89" t="s">
        <v>877</v>
      </c>
      <c r="AI89" t="s">
        <v>966</v>
      </c>
      <c r="AJ89" t="s">
        <v>82</v>
      </c>
      <c r="AK89" t="s">
        <v>82</v>
      </c>
      <c r="AL89" t="s">
        <v>82</v>
      </c>
      <c r="AM89" t="s">
        <v>82</v>
      </c>
      <c r="AN89" t="s">
        <v>82</v>
      </c>
      <c r="AO89" t="s">
        <v>82</v>
      </c>
      <c r="AP89" t="s">
        <v>82</v>
      </c>
      <c r="AQ89" t="s">
        <v>82</v>
      </c>
      <c r="AR89" t="s">
        <v>82</v>
      </c>
      <c r="AS89" t="s">
        <v>88</v>
      </c>
      <c r="AT89" t="s">
        <v>877</v>
      </c>
      <c r="AU89" t="s">
        <v>6</v>
      </c>
      <c r="AV89" t="s">
        <v>90</v>
      </c>
      <c r="AW89" t="s">
        <v>91</v>
      </c>
      <c r="AX89" t="s">
        <v>82</v>
      </c>
      <c r="AY89" t="s">
        <v>82</v>
      </c>
      <c r="AZ89" t="s">
        <v>90</v>
      </c>
      <c r="BA89" t="s">
        <v>90</v>
      </c>
      <c r="BB89" t="s">
        <v>91</v>
      </c>
      <c r="BC89" t="s">
        <v>91</v>
      </c>
      <c r="BD89" t="s">
        <v>82</v>
      </c>
      <c r="BE89" t="s">
        <v>90</v>
      </c>
      <c r="BF89" t="s">
        <v>82</v>
      </c>
      <c r="BG89" t="s">
        <v>82</v>
      </c>
      <c r="BH89" t="s">
        <v>82</v>
      </c>
      <c r="BI89" t="s">
        <v>82</v>
      </c>
      <c r="BJ89" t="s">
        <v>82</v>
      </c>
      <c r="BK89" t="s">
        <v>82</v>
      </c>
      <c r="BL89" t="s">
        <v>90</v>
      </c>
      <c r="BM89" t="s">
        <v>118</v>
      </c>
      <c r="BN89" t="s">
        <v>121</v>
      </c>
    </row>
    <row r="90" spans="1:66" x14ac:dyDescent="0.35">
      <c r="A90">
        <v>193547</v>
      </c>
      <c r="B90" t="s">
        <v>967</v>
      </c>
      <c r="C90" t="s">
        <v>65</v>
      </c>
      <c r="D90" t="s">
        <v>66</v>
      </c>
      <c r="E90" t="s">
        <v>67</v>
      </c>
      <c r="F90" t="s">
        <v>68</v>
      </c>
      <c r="G90" t="s">
        <v>69</v>
      </c>
      <c r="H90" t="s">
        <v>70</v>
      </c>
      <c r="I90" t="s">
        <v>968</v>
      </c>
      <c r="J90" t="s">
        <v>969</v>
      </c>
      <c r="K90" t="s">
        <v>970</v>
      </c>
      <c r="L90" t="s">
        <v>971</v>
      </c>
      <c r="M90" t="s">
        <v>972</v>
      </c>
      <c r="N90" t="s">
        <v>973</v>
      </c>
      <c r="O90" t="s">
        <v>77</v>
      </c>
      <c r="P90" s="2">
        <f t="shared" si="2"/>
        <v>12.683333333333334</v>
      </c>
      <c r="Q90" t="s">
        <v>974</v>
      </c>
      <c r="R90" s="2">
        <f t="shared" si="3"/>
        <v>10.175555555555556</v>
      </c>
      <c r="S90" t="s">
        <v>975</v>
      </c>
      <c r="T90">
        <v>2</v>
      </c>
      <c r="U90">
        <v>2</v>
      </c>
      <c r="V90" t="s">
        <v>80</v>
      </c>
      <c r="W90" t="s">
        <v>80</v>
      </c>
      <c r="X90" t="s">
        <v>81</v>
      </c>
      <c r="Y90" t="s">
        <v>82</v>
      </c>
      <c r="Z90" t="s">
        <v>82</v>
      </c>
      <c r="AA90" t="s">
        <v>83</v>
      </c>
      <c r="AB90" t="s">
        <v>84</v>
      </c>
      <c r="AC90" t="s">
        <v>82</v>
      </c>
      <c r="AD90" t="s">
        <v>85</v>
      </c>
      <c r="AE90" t="s">
        <v>976</v>
      </c>
      <c r="AF90" t="s">
        <v>82</v>
      </c>
      <c r="AG90" t="s">
        <v>87</v>
      </c>
      <c r="AH90" t="s">
        <v>977</v>
      </c>
      <c r="AI90" t="s">
        <v>978</v>
      </c>
      <c r="AJ90" t="s">
        <v>82</v>
      </c>
      <c r="AK90" t="s">
        <v>82</v>
      </c>
      <c r="AL90" t="s">
        <v>82</v>
      </c>
      <c r="AM90" t="s">
        <v>82</v>
      </c>
      <c r="AN90" t="s">
        <v>82</v>
      </c>
      <c r="AO90" t="s">
        <v>82</v>
      </c>
      <c r="AP90" t="s">
        <v>82</v>
      </c>
      <c r="AQ90" t="s">
        <v>82</v>
      </c>
      <c r="AR90" t="s">
        <v>82</v>
      </c>
      <c r="AS90" t="s">
        <v>88</v>
      </c>
      <c r="AT90" t="s">
        <v>977</v>
      </c>
      <c r="AU90" t="s">
        <v>6</v>
      </c>
      <c r="AV90" t="s">
        <v>90</v>
      </c>
      <c r="AW90" t="s">
        <v>90</v>
      </c>
      <c r="AX90" t="s">
        <v>82</v>
      </c>
      <c r="AY90" t="s">
        <v>82</v>
      </c>
      <c r="AZ90" t="s">
        <v>90</v>
      </c>
      <c r="BA90" t="s">
        <v>90</v>
      </c>
      <c r="BB90" t="s">
        <v>90</v>
      </c>
      <c r="BC90" t="s">
        <v>90</v>
      </c>
      <c r="BD90" t="s">
        <v>82</v>
      </c>
      <c r="BE90" t="s">
        <v>90</v>
      </c>
      <c r="BF90" t="s">
        <v>82</v>
      </c>
      <c r="BG90" t="s">
        <v>82</v>
      </c>
      <c r="BH90" t="s">
        <v>82</v>
      </c>
      <c r="BI90" t="s">
        <v>82</v>
      </c>
      <c r="BJ90" t="s">
        <v>82</v>
      </c>
      <c r="BK90" t="s">
        <v>82</v>
      </c>
      <c r="BL90" t="s">
        <v>90</v>
      </c>
      <c r="BM90" t="s">
        <v>979</v>
      </c>
      <c r="BN90" t="s">
        <v>980</v>
      </c>
    </row>
    <row r="91" spans="1:66" x14ac:dyDescent="0.35">
      <c r="A91">
        <v>195411</v>
      </c>
      <c r="B91" t="s">
        <v>981</v>
      </c>
      <c r="C91" t="s">
        <v>65</v>
      </c>
      <c r="D91" t="s">
        <v>150</v>
      </c>
      <c r="E91" t="s">
        <v>67</v>
      </c>
      <c r="F91" t="s">
        <v>68</v>
      </c>
      <c r="G91" t="s">
        <v>69</v>
      </c>
      <c r="H91" t="s">
        <v>70</v>
      </c>
      <c r="I91" t="s">
        <v>982</v>
      </c>
      <c r="J91" t="s">
        <v>983</v>
      </c>
      <c r="K91" t="s">
        <v>984</v>
      </c>
      <c r="L91" t="s">
        <v>985</v>
      </c>
      <c r="M91" t="s">
        <v>986</v>
      </c>
      <c r="N91" t="s">
        <v>987</v>
      </c>
      <c r="O91" t="s">
        <v>77</v>
      </c>
      <c r="P91" s="2">
        <f t="shared" si="2"/>
        <v>39.866666666666667</v>
      </c>
      <c r="Q91" t="s">
        <v>988</v>
      </c>
      <c r="R91" s="2">
        <f t="shared" si="3"/>
        <v>24.494444444444444</v>
      </c>
      <c r="S91" t="s">
        <v>989</v>
      </c>
      <c r="T91">
        <v>1</v>
      </c>
      <c r="U91">
        <v>3</v>
      </c>
      <c r="V91" t="s">
        <v>240</v>
      </c>
      <c r="W91" t="s">
        <v>240</v>
      </c>
      <c r="X91" t="s">
        <v>241</v>
      </c>
      <c r="Y91" t="s">
        <v>82</v>
      </c>
      <c r="Z91" t="s">
        <v>82</v>
      </c>
      <c r="AA91" t="s">
        <v>83</v>
      </c>
      <c r="AB91" t="s">
        <v>84</v>
      </c>
      <c r="AC91" t="s">
        <v>82</v>
      </c>
      <c r="AD91" t="s">
        <v>85</v>
      </c>
      <c r="AE91" t="s">
        <v>82</v>
      </c>
      <c r="AF91" t="s">
        <v>82</v>
      </c>
      <c r="AG91" t="s">
        <v>87</v>
      </c>
      <c r="AH91" t="s">
        <v>990</v>
      </c>
      <c r="AI91" t="s">
        <v>877</v>
      </c>
      <c r="AJ91" t="s">
        <v>82</v>
      </c>
      <c r="AK91" t="s">
        <v>82</v>
      </c>
      <c r="AL91" t="s">
        <v>82</v>
      </c>
      <c r="AM91" t="s">
        <v>82</v>
      </c>
      <c r="AN91" t="s">
        <v>82</v>
      </c>
      <c r="AO91" t="s">
        <v>82</v>
      </c>
      <c r="AP91" t="s">
        <v>82</v>
      </c>
      <c r="AQ91" t="s">
        <v>82</v>
      </c>
      <c r="AR91" t="s">
        <v>82</v>
      </c>
      <c r="AS91" t="s">
        <v>88</v>
      </c>
      <c r="AT91" t="s">
        <v>877</v>
      </c>
      <c r="AU91" t="s">
        <v>6</v>
      </c>
      <c r="AV91" t="s">
        <v>90</v>
      </c>
      <c r="AW91" t="s">
        <v>91</v>
      </c>
      <c r="AX91" t="s">
        <v>82</v>
      </c>
      <c r="AY91" t="s">
        <v>82</v>
      </c>
      <c r="AZ91" t="s">
        <v>90</v>
      </c>
      <c r="BA91" t="s">
        <v>90</v>
      </c>
      <c r="BB91" t="s">
        <v>91</v>
      </c>
      <c r="BC91" t="s">
        <v>91</v>
      </c>
      <c r="BD91" t="s">
        <v>82</v>
      </c>
      <c r="BE91" t="s">
        <v>90</v>
      </c>
      <c r="BF91" t="s">
        <v>82</v>
      </c>
      <c r="BG91" t="s">
        <v>82</v>
      </c>
      <c r="BH91" t="s">
        <v>82</v>
      </c>
      <c r="BI91" t="s">
        <v>82</v>
      </c>
      <c r="BJ91" t="s">
        <v>82</v>
      </c>
      <c r="BK91" t="s">
        <v>82</v>
      </c>
      <c r="BL91" t="s">
        <v>90</v>
      </c>
      <c r="BM91" t="s">
        <v>118</v>
      </c>
      <c r="BN91" t="s">
        <v>121</v>
      </c>
    </row>
    <row r="92" spans="1:66" x14ac:dyDescent="0.35">
      <c r="A92">
        <v>195463</v>
      </c>
      <c r="B92" t="s">
        <v>991</v>
      </c>
      <c r="C92" t="s">
        <v>65</v>
      </c>
      <c r="D92" t="s">
        <v>66</v>
      </c>
      <c r="E92" t="s">
        <v>67</v>
      </c>
      <c r="F92" t="s">
        <v>187</v>
      </c>
      <c r="G92" t="s">
        <v>69</v>
      </c>
      <c r="H92" t="s">
        <v>70</v>
      </c>
      <c r="I92" t="s">
        <v>992</v>
      </c>
      <c r="J92" t="s">
        <v>993</v>
      </c>
      <c r="K92" t="s">
        <v>994</v>
      </c>
      <c r="L92" t="s">
        <v>995</v>
      </c>
      <c r="M92" t="s">
        <v>996</v>
      </c>
      <c r="N92" t="s">
        <v>997</v>
      </c>
      <c r="O92" t="s">
        <v>77</v>
      </c>
      <c r="P92" s="2">
        <f t="shared" si="2"/>
        <v>43.633333333333333</v>
      </c>
      <c r="Q92" t="s">
        <v>998</v>
      </c>
      <c r="R92" s="2">
        <f t="shared" si="3"/>
        <v>15.325555555555553</v>
      </c>
      <c r="S92" t="s">
        <v>999</v>
      </c>
      <c r="T92">
        <v>6</v>
      </c>
      <c r="U92">
        <v>7</v>
      </c>
      <c r="V92" t="s">
        <v>80</v>
      </c>
      <c r="W92" t="s">
        <v>80</v>
      </c>
      <c r="X92" t="s">
        <v>81</v>
      </c>
      <c r="Y92" t="s">
        <v>82</v>
      </c>
      <c r="Z92" t="s">
        <v>82</v>
      </c>
      <c r="AA92" t="s">
        <v>83</v>
      </c>
      <c r="AB92" t="s">
        <v>84</v>
      </c>
      <c r="AC92" t="s">
        <v>82</v>
      </c>
      <c r="AD92" t="s">
        <v>85</v>
      </c>
      <c r="AE92" t="s">
        <v>1000</v>
      </c>
      <c r="AF92" t="s">
        <v>82</v>
      </c>
      <c r="AG92" t="s">
        <v>87</v>
      </c>
      <c r="AH92" t="s">
        <v>1001</v>
      </c>
      <c r="AI92" t="s">
        <v>1002</v>
      </c>
      <c r="AJ92" t="s">
        <v>82</v>
      </c>
      <c r="AK92" t="s">
        <v>82</v>
      </c>
      <c r="AL92" t="s">
        <v>82</v>
      </c>
      <c r="AM92" t="s">
        <v>82</v>
      </c>
      <c r="AN92" t="s">
        <v>82</v>
      </c>
      <c r="AO92" t="s">
        <v>82</v>
      </c>
      <c r="AP92" t="s">
        <v>82</v>
      </c>
      <c r="AQ92" t="s">
        <v>82</v>
      </c>
      <c r="AR92" t="s">
        <v>698</v>
      </c>
      <c r="AS92" t="s">
        <v>88</v>
      </c>
      <c r="AT92" t="s">
        <v>1001</v>
      </c>
      <c r="AU92" t="s">
        <v>6</v>
      </c>
      <c r="AV92" t="s">
        <v>90</v>
      </c>
      <c r="AW92" t="s">
        <v>90</v>
      </c>
      <c r="AX92" t="s">
        <v>82</v>
      </c>
      <c r="AY92" t="s">
        <v>82</v>
      </c>
      <c r="AZ92" t="s">
        <v>90</v>
      </c>
      <c r="BA92" t="s">
        <v>90</v>
      </c>
      <c r="BB92" t="s">
        <v>90</v>
      </c>
      <c r="BC92" t="s">
        <v>90</v>
      </c>
      <c r="BD92" t="s">
        <v>82</v>
      </c>
      <c r="BE92" t="s">
        <v>90</v>
      </c>
      <c r="BF92" t="s">
        <v>82</v>
      </c>
      <c r="BG92" t="s">
        <v>82</v>
      </c>
      <c r="BH92" t="s">
        <v>82</v>
      </c>
      <c r="BI92" t="s">
        <v>82</v>
      </c>
      <c r="BJ92" t="s">
        <v>82</v>
      </c>
      <c r="BK92" t="s">
        <v>82</v>
      </c>
      <c r="BL92" t="s">
        <v>90</v>
      </c>
      <c r="BM92" t="s">
        <v>1001</v>
      </c>
      <c r="BN92" t="s">
        <v>1003</v>
      </c>
    </row>
    <row r="93" spans="1:66" x14ac:dyDescent="0.35">
      <c r="A93">
        <v>195525</v>
      </c>
      <c r="B93" t="s">
        <v>1004</v>
      </c>
      <c r="C93" t="s">
        <v>65</v>
      </c>
      <c r="D93" t="s">
        <v>66</v>
      </c>
      <c r="E93" t="s">
        <v>67</v>
      </c>
      <c r="F93" t="s">
        <v>123</v>
      </c>
      <c r="G93" t="s">
        <v>69</v>
      </c>
      <c r="H93" t="s">
        <v>70</v>
      </c>
      <c r="I93" t="s">
        <v>1005</v>
      </c>
      <c r="J93" t="s">
        <v>1006</v>
      </c>
      <c r="K93" t="s">
        <v>1005</v>
      </c>
      <c r="L93" t="s">
        <v>1005</v>
      </c>
      <c r="M93" t="s">
        <v>1007</v>
      </c>
      <c r="N93" t="s">
        <v>82</v>
      </c>
      <c r="O93" t="s">
        <v>77</v>
      </c>
      <c r="P93" s="2">
        <f t="shared" si="2"/>
        <v>0</v>
      </c>
      <c r="Q93" t="s">
        <v>78</v>
      </c>
      <c r="R93" s="2">
        <f t="shared" si="3"/>
        <v>0</v>
      </c>
      <c r="S93" t="s">
        <v>78</v>
      </c>
      <c r="T93">
        <v>0</v>
      </c>
      <c r="U93">
        <v>1</v>
      </c>
      <c r="V93" t="s">
        <v>80</v>
      </c>
      <c r="W93" t="s">
        <v>82</v>
      </c>
      <c r="X93" t="s">
        <v>81</v>
      </c>
      <c r="Y93" t="s">
        <v>82</v>
      </c>
      <c r="Z93" t="s">
        <v>82</v>
      </c>
      <c r="AA93" t="s">
        <v>83</v>
      </c>
      <c r="AB93" t="s">
        <v>84</v>
      </c>
      <c r="AC93" t="s">
        <v>82</v>
      </c>
      <c r="AD93" t="s">
        <v>85</v>
      </c>
      <c r="AE93" t="s">
        <v>82</v>
      </c>
      <c r="AF93" t="s">
        <v>82</v>
      </c>
      <c r="AG93" t="s">
        <v>82</v>
      </c>
      <c r="AH93" t="s">
        <v>82</v>
      </c>
      <c r="AI93" t="s">
        <v>82</v>
      </c>
      <c r="AJ93" t="s">
        <v>82</v>
      </c>
      <c r="AK93" t="s">
        <v>82</v>
      </c>
      <c r="AL93" t="s">
        <v>82</v>
      </c>
      <c r="AM93" t="s">
        <v>82</v>
      </c>
      <c r="AN93" t="s">
        <v>82</v>
      </c>
      <c r="AO93" t="s">
        <v>82</v>
      </c>
      <c r="AP93" t="s">
        <v>82</v>
      </c>
      <c r="AQ93" t="s">
        <v>82</v>
      </c>
      <c r="AR93" t="s">
        <v>82</v>
      </c>
      <c r="AS93" t="s">
        <v>82</v>
      </c>
      <c r="AT93" t="s">
        <v>82</v>
      </c>
      <c r="AU93" t="s">
        <v>82</v>
      </c>
      <c r="AV93" t="s">
        <v>90</v>
      </c>
      <c r="AW93" t="s">
        <v>90</v>
      </c>
      <c r="AX93" t="s">
        <v>82</v>
      </c>
      <c r="AY93" t="s">
        <v>82</v>
      </c>
      <c r="AZ93" t="s">
        <v>90</v>
      </c>
      <c r="BA93" t="s">
        <v>90</v>
      </c>
      <c r="BB93" t="s">
        <v>90</v>
      </c>
      <c r="BC93" t="s">
        <v>90</v>
      </c>
      <c r="BD93" t="s">
        <v>82</v>
      </c>
      <c r="BE93" t="s">
        <v>90</v>
      </c>
      <c r="BF93" t="s">
        <v>82</v>
      </c>
      <c r="BG93" t="s">
        <v>82</v>
      </c>
      <c r="BH93" t="s">
        <v>82</v>
      </c>
      <c r="BI93" t="s">
        <v>82</v>
      </c>
      <c r="BJ93" t="s">
        <v>82</v>
      </c>
      <c r="BK93" t="s">
        <v>82</v>
      </c>
      <c r="BL93" t="s">
        <v>90</v>
      </c>
      <c r="BM93" t="s">
        <v>770</v>
      </c>
      <c r="BN93" t="s">
        <v>771</v>
      </c>
    </row>
    <row r="94" spans="1:66" x14ac:dyDescent="0.35">
      <c r="A94">
        <v>195688</v>
      </c>
      <c r="B94" t="s">
        <v>1008</v>
      </c>
      <c r="C94" t="s">
        <v>65</v>
      </c>
      <c r="D94" t="s">
        <v>66</v>
      </c>
      <c r="E94" t="s">
        <v>67</v>
      </c>
      <c r="F94" t="s">
        <v>542</v>
      </c>
      <c r="G94" t="s">
        <v>69</v>
      </c>
      <c r="H94" t="s">
        <v>70</v>
      </c>
      <c r="I94" t="s">
        <v>1009</v>
      </c>
      <c r="J94" t="s">
        <v>1010</v>
      </c>
      <c r="K94" t="s">
        <v>1011</v>
      </c>
      <c r="L94" t="s">
        <v>1011</v>
      </c>
      <c r="M94" t="s">
        <v>1012</v>
      </c>
      <c r="N94" t="s">
        <v>82</v>
      </c>
      <c r="O94" t="s">
        <v>77</v>
      </c>
      <c r="P94" s="2">
        <f t="shared" si="2"/>
        <v>0</v>
      </c>
      <c r="Q94" t="s">
        <v>78</v>
      </c>
      <c r="R94" s="2">
        <f t="shared" si="3"/>
        <v>0.11722222222222223</v>
      </c>
      <c r="S94" t="s">
        <v>1013</v>
      </c>
      <c r="T94">
        <v>0</v>
      </c>
      <c r="U94">
        <v>1</v>
      </c>
      <c r="V94" t="s">
        <v>80</v>
      </c>
      <c r="W94" t="s">
        <v>82</v>
      </c>
      <c r="X94" t="s">
        <v>548</v>
      </c>
      <c r="Y94" t="s">
        <v>82</v>
      </c>
      <c r="Z94" t="s">
        <v>82</v>
      </c>
      <c r="AA94" t="s">
        <v>83</v>
      </c>
      <c r="AB94" t="s">
        <v>84</v>
      </c>
      <c r="AC94" t="s">
        <v>82</v>
      </c>
      <c r="AD94" t="s">
        <v>85</v>
      </c>
      <c r="AE94" t="s">
        <v>82</v>
      </c>
      <c r="AF94" t="s">
        <v>82</v>
      </c>
      <c r="AG94" t="s">
        <v>887</v>
      </c>
      <c r="AH94" t="s">
        <v>82</v>
      </c>
      <c r="AI94" t="s">
        <v>82</v>
      </c>
      <c r="AJ94" t="s">
        <v>82</v>
      </c>
      <c r="AK94" t="s">
        <v>82</v>
      </c>
      <c r="AL94" t="s">
        <v>82</v>
      </c>
      <c r="AM94" t="s">
        <v>82</v>
      </c>
      <c r="AN94" t="s">
        <v>82</v>
      </c>
      <c r="AO94" t="s">
        <v>82</v>
      </c>
      <c r="AP94" t="s">
        <v>82</v>
      </c>
      <c r="AQ94" t="s">
        <v>82</v>
      </c>
      <c r="AR94" t="s">
        <v>82</v>
      </c>
      <c r="AS94" t="s">
        <v>130</v>
      </c>
      <c r="AT94" t="s">
        <v>82</v>
      </c>
      <c r="AU94" t="s">
        <v>82</v>
      </c>
      <c r="AV94" t="s">
        <v>90</v>
      </c>
      <c r="AW94" t="s">
        <v>90</v>
      </c>
      <c r="AX94" t="s">
        <v>82</v>
      </c>
      <c r="AY94" t="s">
        <v>82</v>
      </c>
      <c r="AZ94" t="s">
        <v>90</v>
      </c>
      <c r="BA94" t="s">
        <v>90</v>
      </c>
      <c r="BB94" t="s">
        <v>90</v>
      </c>
      <c r="BC94" t="s">
        <v>90</v>
      </c>
      <c r="BD94" t="s">
        <v>82</v>
      </c>
      <c r="BE94" t="s">
        <v>90</v>
      </c>
      <c r="BF94" t="s">
        <v>82</v>
      </c>
      <c r="BG94" t="s">
        <v>82</v>
      </c>
      <c r="BH94" t="s">
        <v>82</v>
      </c>
      <c r="BI94" t="s">
        <v>82</v>
      </c>
      <c r="BJ94" t="s">
        <v>82</v>
      </c>
      <c r="BK94" t="s">
        <v>82</v>
      </c>
      <c r="BL94" t="s">
        <v>90</v>
      </c>
      <c r="BM94" t="s">
        <v>170</v>
      </c>
      <c r="BN94" t="s">
        <v>171</v>
      </c>
    </row>
    <row r="95" spans="1:66" x14ac:dyDescent="0.35">
      <c r="A95">
        <v>196010</v>
      </c>
      <c r="B95" t="s">
        <v>1014</v>
      </c>
      <c r="C95" t="s">
        <v>65</v>
      </c>
      <c r="D95" t="s">
        <v>66</v>
      </c>
      <c r="E95" t="s">
        <v>95</v>
      </c>
      <c r="F95" t="s">
        <v>158</v>
      </c>
      <c r="G95" t="s">
        <v>69</v>
      </c>
      <c r="H95" t="s">
        <v>70</v>
      </c>
      <c r="I95" t="s">
        <v>1015</v>
      </c>
      <c r="J95" t="s">
        <v>1016</v>
      </c>
      <c r="K95" t="s">
        <v>1017</v>
      </c>
      <c r="L95" t="s">
        <v>1017</v>
      </c>
      <c r="M95" t="s">
        <v>1018</v>
      </c>
      <c r="N95" t="s">
        <v>1019</v>
      </c>
      <c r="O95" t="s">
        <v>77</v>
      </c>
      <c r="P95" s="2">
        <f t="shared" si="2"/>
        <v>15.050000000000002</v>
      </c>
      <c r="Q95" t="s">
        <v>1020</v>
      </c>
      <c r="R95" s="2">
        <f t="shared" si="3"/>
        <v>4.4772222222222222</v>
      </c>
      <c r="S95" t="s">
        <v>1021</v>
      </c>
      <c r="T95">
        <v>2</v>
      </c>
      <c r="U95">
        <v>4</v>
      </c>
      <c r="V95" t="s">
        <v>80</v>
      </c>
      <c r="W95" t="s">
        <v>80</v>
      </c>
      <c r="X95" t="s">
        <v>81</v>
      </c>
      <c r="Y95" t="s">
        <v>82</v>
      </c>
      <c r="Z95" t="s">
        <v>82</v>
      </c>
      <c r="AA95" t="s">
        <v>83</v>
      </c>
      <c r="AB95" t="s">
        <v>84</v>
      </c>
      <c r="AC95" t="s">
        <v>82</v>
      </c>
      <c r="AD95" t="s">
        <v>85</v>
      </c>
      <c r="AE95" t="s">
        <v>1022</v>
      </c>
      <c r="AF95" t="s">
        <v>82</v>
      </c>
      <c r="AG95" t="s">
        <v>1022</v>
      </c>
      <c r="AH95" t="s">
        <v>1023</v>
      </c>
      <c r="AI95" t="s">
        <v>1024</v>
      </c>
      <c r="AJ95" t="s">
        <v>82</v>
      </c>
      <c r="AK95" t="s">
        <v>82</v>
      </c>
      <c r="AL95" t="s">
        <v>82</v>
      </c>
      <c r="AM95" t="s">
        <v>82</v>
      </c>
      <c r="AN95" t="s">
        <v>169</v>
      </c>
      <c r="AO95" t="s">
        <v>82</v>
      </c>
      <c r="AP95" t="s">
        <v>82</v>
      </c>
      <c r="AQ95" t="s">
        <v>82</v>
      </c>
      <c r="AR95" t="s">
        <v>82</v>
      </c>
      <c r="AS95" t="s">
        <v>88</v>
      </c>
      <c r="AT95" t="s">
        <v>82</v>
      </c>
      <c r="AU95" t="s">
        <v>106</v>
      </c>
      <c r="AV95" t="s">
        <v>90</v>
      </c>
      <c r="AW95" t="s">
        <v>90</v>
      </c>
      <c r="AX95" t="s">
        <v>82</v>
      </c>
      <c r="AY95" t="s">
        <v>82</v>
      </c>
      <c r="AZ95" t="s">
        <v>90</v>
      </c>
      <c r="BA95" t="s">
        <v>90</v>
      </c>
      <c r="BB95" t="s">
        <v>90</v>
      </c>
      <c r="BC95" t="s">
        <v>90</v>
      </c>
      <c r="BD95" t="s">
        <v>82</v>
      </c>
      <c r="BE95" t="s">
        <v>90</v>
      </c>
      <c r="BF95" t="s">
        <v>82</v>
      </c>
      <c r="BG95" t="s">
        <v>82</v>
      </c>
      <c r="BH95" t="s">
        <v>82</v>
      </c>
      <c r="BI95" t="s">
        <v>82</v>
      </c>
      <c r="BJ95" t="s">
        <v>82</v>
      </c>
      <c r="BK95" t="s">
        <v>82</v>
      </c>
      <c r="BL95" t="s">
        <v>90</v>
      </c>
      <c r="BM95" t="s">
        <v>979</v>
      </c>
      <c r="BN95" t="s">
        <v>980</v>
      </c>
    </row>
    <row r="96" spans="1:66" x14ac:dyDescent="0.35">
      <c r="A96">
        <v>196018</v>
      </c>
      <c r="B96" t="s">
        <v>1025</v>
      </c>
      <c r="C96" t="s">
        <v>65</v>
      </c>
      <c r="D96" t="s">
        <v>66</v>
      </c>
      <c r="E96" t="s">
        <v>67</v>
      </c>
      <c r="F96" t="s">
        <v>158</v>
      </c>
      <c r="G96" t="s">
        <v>69</v>
      </c>
      <c r="H96" t="s">
        <v>70</v>
      </c>
      <c r="I96" t="s">
        <v>1026</v>
      </c>
      <c r="J96" t="s">
        <v>1027</v>
      </c>
      <c r="K96" t="s">
        <v>1028</v>
      </c>
      <c r="L96" t="s">
        <v>1028</v>
      </c>
      <c r="M96" t="s">
        <v>1029</v>
      </c>
      <c r="N96" t="s">
        <v>1030</v>
      </c>
      <c r="O96" t="s">
        <v>77</v>
      </c>
      <c r="P96" s="2">
        <f t="shared" si="2"/>
        <v>32.916666666666664</v>
      </c>
      <c r="Q96" t="s">
        <v>1031</v>
      </c>
      <c r="R96" s="2">
        <f t="shared" si="3"/>
        <v>47.56861111111111</v>
      </c>
      <c r="S96" t="s">
        <v>1032</v>
      </c>
      <c r="T96">
        <v>6</v>
      </c>
      <c r="U96">
        <v>6</v>
      </c>
      <c r="V96" t="s">
        <v>80</v>
      </c>
      <c r="W96" t="s">
        <v>80</v>
      </c>
      <c r="X96" t="s">
        <v>81</v>
      </c>
      <c r="Y96" t="s">
        <v>82</v>
      </c>
      <c r="Z96" t="s">
        <v>82</v>
      </c>
      <c r="AA96" t="s">
        <v>83</v>
      </c>
      <c r="AB96" t="s">
        <v>84</v>
      </c>
      <c r="AC96" t="s">
        <v>82</v>
      </c>
      <c r="AD96" t="s">
        <v>85</v>
      </c>
      <c r="AE96" t="s">
        <v>82</v>
      </c>
      <c r="AF96" t="s">
        <v>82</v>
      </c>
      <c r="AG96" t="s">
        <v>87</v>
      </c>
      <c r="AH96" t="s">
        <v>1033</v>
      </c>
      <c r="AI96" t="s">
        <v>1034</v>
      </c>
      <c r="AJ96" t="s">
        <v>82</v>
      </c>
      <c r="AK96" t="s">
        <v>82</v>
      </c>
      <c r="AL96" t="s">
        <v>82</v>
      </c>
      <c r="AM96" t="s">
        <v>82</v>
      </c>
      <c r="AN96" t="s">
        <v>169</v>
      </c>
      <c r="AO96" t="s">
        <v>82</v>
      </c>
      <c r="AP96" t="s">
        <v>82</v>
      </c>
      <c r="AQ96" t="s">
        <v>82</v>
      </c>
      <c r="AR96" t="s">
        <v>82</v>
      </c>
      <c r="AS96" t="s">
        <v>88</v>
      </c>
      <c r="AT96" t="s">
        <v>1033</v>
      </c>
      <c r="AU96" t="s">
        <v>6</v>
      </c>
      <c r="AV96" t="s">
        <v>90</v>
      </c>
      <c r="AW96" t="s">
        <v>90</v>
      </c>
      <c r="AX96" t="s">
        <v>82</v>
      </c>
      <c r="AY96" t="s">
        <v>82</v>
      </c>
      <c r="AZ96" t="s">
        <v>90</v>
      </c>
      <c r="BA96" t="s">
        <v>90</v>
      </c>
      <c r="BB96" t="s">
        <v>90</v>
      </c>
      <c r="BC96" t="s">
        <v>90</v>
      </c>
      <c r="BD96" t="s">
        <v>82</v>
      </c>
      <c r="BE96" t="s">
        <v>90</v>
      </c>
      <c r="BF96" t="s">
        <v>82</v>
      </c>
      <c r="BG96" t="s">
        <v>82</v>
      </c>
      <c r="BH96" t="s">
        <v>82</v>
      </c>
      <c r="BI96" t="s">
        <v>82</v>
      </c>
      <c r="BJ96" t="s">
        <v>82</v>
      </c>
      <c r="BK96" t="s">
        <v>82</v>
      </c>
      <c r="BL96" t="s">
        <v>90</v>
      </c>
      <c r="BM96" t="s">
        <v>1035</v>
      </c>
      <c r="BN96" t="s">
        <v>1036</v>
      </c>
    </row>
    <row r="97" spans="1:66" x14ac:dyDescent="0.35">
      <c r="A97">
        <v>196031</v>
      </c>
      <c r="B97" t="s">
        <v>82</v>
      </c>
      <c r="C97" t="s">
        <v>65</v>
      </c>
      <c r="D97" t="s">
        <v>66</v>
      </c>
      <c r="E97" t="s">
        <v>67</v>
      </c>
      <c r="F97" t="s">
        <v>158</v>
      </c>
      <c r="G97" t="s">
        <v>69</v>
      </c>
      <c r="H97" t="s">
        <v>70</v>
      </c>
      <c r="I97" t="s">
        <v>1037</v>
      </c>
      <c r="J97" t="s">
        <v>1038</v>
      </c>
      <c r="K97" t="s">
        <v>1039</v>
      </c>
      <c r="L97" t="s">
        <v>1040</v>
      </c>
      <c r="M97" t="s">
        <v>1041</v>
      </c>
      <c r="N97" t="s">
        <v>1042</v>
      </c>
      <c r="O97" t="s">
        <v>77</v>
      </c>
      <c r="P97" s="2">
        <f t="shared" si="2"/>
        <v>38.133333333333333</v>
      </c>
      <c r="Q97" t="s">
        <v>1043</v>
      </c>
      <c r="R97" s="2">
        <f t="shared" si="3"/>
        <v>2.3994444444444443</v>
      </c>
      <c r="S97" t="s">
        <v>1044</v>
      </c>
      <c r="T97">
        <v>2</v>
      </c>
      <c r="U97">
        <v>2</v>
      </c>
      <c r="V97" t="s">
        <v>80</v>
      </c>
      <c r="W97" t="s">
        <v>80</v>
      </c>
      <c r="X97" t="s">
        <v>81</v>
      </c>
      <c r="Y97" t="s">
        <v>82</v>
      </c>
      <c r="Z97" t="s">
        <v>82</v>
      </c>
      <c r="AA97" t="s">
        <v>83</v>
      </c>
      <c r="AB97" t="s">
        <v>84</v>
      </c>
      <c r="AC97" t="s">
        <v>82</v>
      </c>
      <c r="AD97" t="s">
        <v>85</v>
      </c>
      <c r="AE97" t="s">
        <v>82</v>
      </c>
      <c r="AF97" t="s">
        <v>82</v>
      </c>
      <c r="AG97" t="s">
        <v>87</v>
      </c>
      <c r="AH97" t="s">
        <v>1045</v>
      </c>
      <c r="AI97" t="s">
        <v>1046</v>
      </c>
      <c r="AJ97" t="s">
        <v>82</v>
      </c>
      <c r="AK97" t="s">
        <v>82</v>
      </c>
      <c r="AL97" t="s">
        <v>82</v>
      </c>
      <c r="AM97" t="s">
        <v>82</v>
      </c>
      <c r="AN97" t="s">
        <v>169</v>
      </c>
      <c r="AO97" t="s">
        <v>82</v>
      </c>
      <c r="AP97" t="s">
        <v>82</v>
      </c>
      <c r="AQ97" t="s">
        <v>82</v>
      </c>
      <c r="AR97" t="s">
        <v>82</v>
      </c>
      <c r="AS97" t="s">
        <v>88</v>
      </c>
      <c r="AT97" t="s">
        <v>1045</v>
      </c>
      <c r="AU97" t="s">
        <v>6</v>
      </c>
      <c r="AV97" t="s">
        <v>90</v>
      </c>
      <c r="AW97" t="s">
        <v>90</v>
      </c>
      <c r="AX97" t="s">
        <v>82</v>
      </c>
      <c r="AY97" t="s">
        <v>82</v>
      </c>
      <c r="AZ97" t="s">
        <v>90</v>
      </c>
      <c r="BA97" t="s">
        <v>90</v>
      </c>
      <c r="BB97" t="s">
        <v>90</v>
      </c>
      <c r="BC97" t="s">
        <v>90</v>
      </c>
      <c r="BD97" t="s">
        <v>82</v>
      </c>
      <c r="BE97" t="s">
        <v>90</v>
      </c>
      <c r="BF97" t="s">
        <v>82</v>
      </c>
      <c r="BG97" t="s">
        <v>82</v>
      </c>
      <c r="BH97" t="s">
        <v>82</v>
      </c>
      <c r="BI97" t="s">
        <v>82</v>
      </c>
      <c r="BJ97" t="s">
        <v>82</v>
      </c>
      <c r="BK97" t="s">
        <v>82</v>
      </c>
      <c r="BL97" t="s">
        <v>90</v>
      </c>
      <c r="BM97" t="s">
        <v>1035</v>
      </c>
      <c r="BN97" t="s">
        <v>1036</v>
      </c>
    </row>
    <row r="98" spans="1:66" x14ac:dyDescent="0.35">
      <c r="A98">
        <v>196049</v>
      </c>
      <c r="B98" t="s">
        <v>1047</v>
      </c>
      <c r="C98" t="s">
        <v>65</v>
      </c>
      <c r="D98" t="s">
        <v>66</v>
      </c>
      <c r="E98" t="s">
        <v>67</v>
      </c>
      <c r="F98" t="s">
        <v>123</v>
      </c>
      <c r="G98" t="s">
        <v>69</v>
      </c>
      <c r="H98" t="s">
        <v>70</v>
      </c>
      <c r="I98" t="s">
        <v>1048</v>
      </c>
      <c r="J98" t="s">
        <v>1049</v>
      </c>
      <c r="K98" t="s">
        <v>1050</v>
      </c>
      <c r="L98" t="s">
        <v>1050</v>
      </c>
      <c r="M98" t="s">
        <v>1051</v>
      </c>
      <c r="N98" t="s">
        <v>82</v>
      </c>
      <c r="O98" t="s">
        <v>77</v>
      </c>
      <c r="P98" s="2">
        <f t="shared" si="2"/>
        <v>0</v>
      </c>
      <c r="Q98" t="s">
        <v>78</v>
      </c>
      <c r="R98" s="2">
        <f t="shared" si="3"/>
        <v>2.7777777777777778E-4</v>
      </c>
      <c r="S98" t="s">
        <v>1052</v>
      </c>
      <c r="T98">
        <v>0</v>
      </c>
      <c r="U98">
        <v>1</v>
      </c>
      <c r="V98" t="s">
        <v>80</v>
      </c>
      <c r="W98" t="s">
        <v>82</v>
      </c>
      <c r="X98" t="s">
        <v>81</v>
      </c>
      <c r="Y98" t="s">
        <v>82</v>
      </c>
      <c r="Z98" t="s">
        <v>82</v>
      </c>
      <c r="AA98" t="s">
        <v>83</v>
      </c>
      <c r="AB98" t="s">
        <v>84</v>
      </c>
      <c r="AC98" t="s">
        <v>82</v>
      </c>
      <c r="AD98" t="s">
        <v>85</v>
      </c>
      <c r="AE98" t="s">
        <v>82</v>
      </c>
      <c r="AF98" t="s">
        <v>82</v>
      </c>
      <c r="AG98" t="s">
        <v>82</v>
      </c>
      <c r="AH98" t="s">
        <v>82</v>
      </c>
      <c r="AI98" t="s">
        <v>82</v>
      </c>
      <c r="AJ98" t="s">
        <v>82</v>
      </c>
      <c r="AK98" t="s">
        <v>82</v>
      </c>
      <c r="AL98" t="s">
        <v>82</v>
      </c>
      <c r="AM98" t="s">
        <v>82</v>
      </c>
      <c r="AN98" t="s">
        <v>82</v>
      </c>
      <c r="AO98" t="s">
        <v>82</v>
      </c>
      <c r="AP98" t="s">
        <v>82</v>
      </c>
      <c r="AQ98" t="s">
        <v>82</v>
      </c>
      <c r="AR98" t="s">
        <v>82</v>
      </c>
      <c r="AS98" t="s">
        <v>82</v>
      </c>
      <c r="AT98" t="s">
        <v>82</v>
      </c>
      <c r="AU98" t="s">
        <v>82</v>
      </c>
      <c r="AV98" t="s">
        <v>90</v>
      </c>
      <c r="AW98" t="s">
        <v>90</v>
      </c>
      <c r="AX98" t="s">
        <v>82</v>
      </c>
      <c r="AY98" t="s">
        <v>82</v>
      </c>
      <c r="AZ98" t="s">
        <v>90</v>
      </c>
      <c r="BA98" t="s">
        <v>90</v>
      </c>
      <c r="BB98" t="s">
        <v>90</v>
      </c>
      <c r="BC98" t="s">
        <v>90</v>
      </c>
      <c r="BD98" t="s">
        <v>82</v>
      </c>
      <c r="BE98" t="s">
        <v>90</v>
      </c>
      <c r="BF98" t="s">
        <v>82</v>
      </c>
      <c r="BG98" t="s">
        <v>82</v>
      </c>
      <c r="BH98" t="s">
        <v>82</v>
      </c>
      <c r="BI98" t="s">
        <v>82</v>
      </c>
      <c r="BJ98" t="s">
        <v>82</v>
      </c>
      <c r="BK98" t="s">
        <v>82</v>
      </c>
      <c r="BL98" t="s">
        <v>90</v>
      </c>
      <c r="BM98" t="s">
        <v>770</v>
      </c>
      <c r="BN98" t="s">
        <v>771</v>
      </c>
    </row>
    <row r="99" spans="1:66" x14ac:dyDescent="0.35">
      <c r="A99">
        <v>196061</v>
      </c>
      <c r="B99" t="s">
        <v>1053</v>
      </c>
      <c r="C99" t="s">
        <v>65</v>
      </c>
      <c r="D99" t="s">
        <v>66</v>
      </c>
      <c r="E99" t="s">
        <v>67</v>
      </c>
      <c r="F99" t="s">
        <v>123</v>
      </c>
      <c r="G99" t="s">
        <v>69</v>
      </c>
      <c r="H99" t="s">
        <v>70</v>
      </c>
      <c r="I99" t="s">
        <v>1054</v>
      </c>
      <c r="J99" t="s">
        <v>1055</v>
      </c>
      <c r="K99" t="s">
        <v>1056</v>
      </c>
      <c r="L99" t="s">
        <v>1056</v>
      </c>
      <c r="M99" t="s">
        <v>1051</v>
      </c>
      <c r="N99" t="s">
        <v>82</v>
      </c>
      <c r="O99" t="s">
        <v>77</v>
      </c>
      <c r="P99" s="2">
        <f t="shared" si="2"/>
        <v>0</v>
      </c>
      <c r="Q99" t="s">
        <v>78</v>
      </c>
      <c r="R99" s="2">
        <f t="shared" si="3"/>
        <v>2.7777777777777778E-4</v>
      </c>
      <c r="S99" t="s">
        <v>1052</v>
      </c>
      <c r="T99">
        <v>0</v>
      </c>
      <c r="U99">
        <v>1</v>
      </c>
      <c r="V99" t="s">
        <v>80</v>
      </c>
      <c r="W99" t="s">
        <v>82</v>
      </c>
      <c r="X99" t="s">
        <v>81</v>
      </c>
      <c r="Y99" t="s">
        <v>82</v>
      </c>
      <c r="Z99" t="s">
        <v>82</v>
      </c>
      <c r="AA99" t="s">
        <v>83</v>
      </c>
      <c r="AB99" t="s">
        <v>84</v>
      </c>
      <c r="AC99" t="s">
        <v>82</v>
      </c>
      <c r="AD99" t="s">
        <v>85</v>
      </c>
      <c r="AE99" t="s">
        <v>82</v>
      </c>
      <c r="AF99" t="s">
        <v>82</v>
      </c>
      <c r="AG99" t="s">
        <v>82</v>
      </c>
      <c r="AH99" t="s">
        <v>82</v>
      </c>
      <c r="AI99" t="s">
        <v>82</v>
      </c>
      <c r="AJ99" t="s">
        <v>82</v>
      </c>
      <c r="AK99" t="s">
        <v>82</v>
      </c>
      <c r="AL99" t="s">
        <v>82</v>
      </c>
      <c r="AM99" t="s">
        <v>82</v>
      </c>
      <c r="AN99" t="s">
        <v>82</v>
      </c>
      <c r="AO99" t="s">
        <v>82</v>
      </c>
      <c r="AP99" t="s">
        <v>82</v>
      </c>
      <c r="AQ99" t="s">
        <v>82</v>
      </c>
      <c r="AR99" t="s">
        <v>82</v>
      </c>
      <c r="AS99" t="s">
        <v>82</v>
      </c>
      <c r="AT99" t="s">
        <v>82</v>
      </c>
      <c r="AU99" t="s">
        <v>82</v>
      </c>
      <c r="AV99" t="s">
        <v>90</v>
      </c>
      <c r="AW99" t="s">
        <v>90</v>
      </c>
      <c r="AX99" t="s">
        <v>82</v>
      </c>
      <c r="AY99" t="s">
        <v>82</v>
      </c>
      <c r="AZ99" t="s">
        <v>90</v>
      </c>
      <c r="BA99" t="s">
        <v>90</v>
      </c>
      <c r="BB99" t="s">
        <v>90</v>
      </c>
      <c r="BC99" t="s">
        <v>90</v>
      </c>
      <c r="BD99" t="s">
        <v>82</v>
      </c>
      <c r="BE99" t="s">
        <v>90</v>
      </c>
      <c r="BF99" t="s">
        <v>82</v>
      </c>
      <c r="BG99" t="s">
        <v>82</v>
      </c>
      <c r="BH99" t="s">
        <v>82</v>
      </c>
      <c r="BI99" t="s">
        <v>82</v>
      </c>
      <c r="BJ99" t="s">
        <v>82</v>
      </c>
      <c r="BK99" t="s">
        <v>82</v>
      </c>
      <c r="BL99" t="s">
        <v>90</v>
      </c>
      <c r="BM99" t="s">
        <v>770</v>
      </c>
      <c r="BN99" t="s">
        <v>771</v>
      </c>
    </row>
    <row r="100" spans="1:66" x14ac:dyDescent="0.35">
      <c r="A100">
        <v>196080</v>
      </c>
      <c r="B100" t="s">
        <v>896</v>
      </c>
      <c r="C100" t="s">
        <v>65</v>
      </c>
      <c r="D100" t="s">
        <v>66</v>
      </c>
      <c r="E100" t="s">
        <v>67</v>
      </c>
      <c r="F100" t="s">
        <v>123</v>
      </c>
      <c r="G100" t="s">
        <v>69</v>
      </c>
      <c r="H100" t="s">
        <v>70</v>
      </c>
      <c r="I100" t="s">
        <v>1057</v>
      </c>
      <c r="J100" t="s">
        <v>1058</v>
      </c>
      <c r="K100" t="s">
        <v>1059</v>
      </c>
      <c r="L100" t="s">
        <v>1059</v>
      </c>
      <c r="M100" t="s">
        <v>1060</v>
      </c>
      <c r="N100" t="s">
        <v>82</v>
      </c>
      <c r="O100" t="s">
        <v>77</v>
      </c>
      <c r="P100" s="2">
        <f t="shared" si="2"/>
        <v>0</v>
      </c>
      <c r="Q100" t="s">
        <v>78</v>
      </c>
      <c r="R100" s="2">
        <f t="shared" si="3"/>
        <v>7.166666666666667E-2</v>
      </c>
      <c r="S100" t="s">
        <v>1061</v>
      </c>
      <c r="T100">
        <v>0</v>
      </c>
      <c r="U100">
        <v>1</v>
      </c>
      <c r="V100" t="s">
        <v>80</v>
      </c>
      <c r="W100" t="s">
        <v>82</v>
      </c>
      <c r="X100" t="s">
        <v>81</v>
      </c>
      <c r="Y100" t="s">
        <v>82</v>
      </c>
      <c r="Z100" t="s">
        <v>82</v>
      </c>
      <c r="AA100" t="s">
        <v>83</v>
      </c>
      <c r="AB100" t="s">
        <v>84</v>
      </c>
      <c r="AC100" t="s">
        <v>82</v>
      </c>
      <c r="AD100" t="s">
        <v>85</v>
      </c>
      <c r="AE100" t="s">
        <v>82</v>
      </c>
      <c r="AF100" t="s">
        <v>82</v>
      </c>
      <c r="AG100" t="s">
        <v>87</v>
      </c>
      <c r="AH100" t="s">
        <v>82</v>
      </c>
      <c r="AI100" t="s">
        <v>129</v>
      </c>
      <c r="AJ100" t="s">
        <v>82</v>
      </c>
      <c r="AK100" t="s">
        <v>82</v>
      </c>
      <c r="AL100" t="s">
        <v>82</v>
      </c>
      <c r="AM100" t="s">
        <v>82</v>
      </c>
      <c r="AN100" t="s">
        <v>82</v>
      </c>
      <c r="AO100" t="s">
        <v>82</v>
      </c>
      <c r="AP100" t="s">
        <v>82</v>
      </c>
      <c r="AQ100" t="s">
        <v>82</v>
      </c>
      <c r="AR100" t="s">
        <v>82</v>
      </c>
      <c r="AS100" t="s">
        <v>130</v>
      </c>
      <c r="AT100" t="s">
        <v>129</v>
      </c>
      <c r="AU100" t="s">
        <v>82</v>
      </c>
      <c r="AV100" t="s">
        <v>90</v>
      </c>
      <c r="AW100" t="s">
        <v>90</v>
      </c>
      <c r="AX100" t="s">
        <v>82</v>
      </c>
      <c r="AY100" t="s">
        <v>82</v>
      </c>
      <c r="AZ100" t="s">
        <v>90</v>
      </c>
      <c r="BA100" t="s">
        <v>90</v>
      </c>
      <c r="BB100" t="s">
        <v>90</v>
      </c>
      <c r="BC100" t="s">
        <v>90</v>
      </c>
      <c r="BD100" t="s">
        <v>82</v>
      </c>
      <c r="BE100" t="s">
        <v>90</v>
      </c>
      <c r="BF100" t="s">
        <v>82</v>
      </c>
      <c r="BG100" t="s">
        <v>82</v>
      </c>
      <c r="BH100" t="s">
        <v>82</v>
      </c>
      <c r="BI100" t="s">
        <v>82</v>
      </c>
      <c r="BJ100" t="s">
        <v>82</v>
      </c>
      <c r="BK100" t="s">
        <v>82</v>
      </c>
      <c r="BL100" t="s">
        <v>90</v>
      </c>
      <c r="BM100" t="s">
        <v>139</v>
      </c>
      <c r="BN100" t="s">
        <v>1062</v>
      </c>
    </row>
    <row r="101" spans="1:66" x14ac:dyDescent="0.35">
      <c r="A101">
        <v>196106</v>
      </c>
      <c r="B101" t="s">
        <v>1063</v>
      </c>
      <c r="C101" t="s">
        <v>65</v>
      </c>
      <c r="D101" t="s">
        <v>150</v>
      </c>
      <c r="E101" t="s">
        <v>95</v>
      </c>
      <c r="F101" t="s">
        <v>109</v>
      </c>
      <c r="G101" t="s">
        <v>69</v>
      </c>
      <c r="H101" t="s">
        <v>70</v>
      </c>
      <c r="I101" t="s">
        <v>1064</v>
      </c>
      <c r="J101" t="s">
        <v>1065</v>
      </c>
      <c r="K101" t="s">
        <v>1066</v>
      </c>
      <c r="L101" t="s">
        <v>1067</v>
      </c>
      <c r="M101" t="s">
        <v>1068</v>
      </c>
      <c r="N101" t="s">
        <v>1069</v>
      </c>
      <c r="O101" t="s">
        <v>77</v>
      </c>
      <c r="P101" s="2">
        <f t="shared" si="2"/>
        <v>10.35</v>
      </c>
      <c r="Q101" t="s">
        <v>1070</v>
      </c>
      <c r="R101" s="2">
        <f t="shared" si="3"/>
        <v>27.940277777777773</v>
      </c>
      <c r="S101" t="s">
        <v>1071</v>
      </c>
      <c r="T101">
        <v>4</v>
      </c>
      <c r="U101">
        <v>4</v>
      </c>
      <c r="V101" t="s">
        <v>80</v>
      </c>
      <c r="W101" t="s">
        <v>80</v>
      </c>
      <c r="X101" t="s">
        <v>81</v>
      </c>
      <c r="Y101" t="s">
        <v>82</v>
      </c>
      <c r="Z101" t="s">
        <v>82</v>
      </c>
      <c r="AA101" t="s">
        <v>83</v>
      </c>
      <c r="AB101" t="s">
        <v>84</v>
      </c>
      <c r="AC101" t="s">
        <v>82</v>
      </c>
      <c r="AD101" t="s">
        <v>85</v>
      </c>
      <c r="AE101" t="s">
        <v>441</v>
      </c>
      <c r="AF101" t="s">
        <v>1072</v>
      </c>
      <c r="AG101" t="s">
        <v>87</v>
      </c>
      <c r="AH101" t="s">
        <v>1073</v>
      </c>
      <c r="AI101" t="s">
        <v>1074</v>
      </c>
      <c r="AJ101" t="s">
        <v>82</v>
      </c>
      <c r="AK101" t="s">
        <v>82</v>
      </c>
      <c r="AL101" t="s">
        <v>82</v>
      </c>
      <c r="AM101" t="s">
        <v>82</v>
      </c>
      <c r="AN101" t="s">
        <v>82</v>
      </c>
      <c r="AO101" t="s">
        <v>82</v>
      </c>
      <c r="AP101" t="s">
        <v>82</v>
      </c>
      <c r="AQ101" t="s">
        <v>82</v>
      </c>
      <c r="AR101" t="s">
        <v>82</v>
      </c>
      <c r="AS101" t="s">
        <v>292</v>
      </c>
      <c r="AT101" t="s">
        <v>1075</v>
      </c>
      <c r="AU101" t="s">
        <v>6</v>
      </c>
      <c r="AV101" t="s">
        <v>90</v>
      </c>
      <c r="AW101" t="s">
        <v>91</v>
      </c>
      <c r="AX101" t="s">
        <v>82</v>
      </c>
      <c r="AY101" t="s">
        <v>82</v>
      </c>
      <c r="AZ101" t="s">
        <v>90</v>
      </c>
      <c r="BA101" t="s">
        <v>90</v>
      </c>
      <c r="BB101" t="s">
        <v>91</v>
      </c>
      <c r="BC101" t="s">
        <v>91</v>
      </c>
      <c r="BD101" t="s">
        <v>82</v>
      </c>
      <c r="BE101" t="s">
        <v>90</v>
      </c>
      <c r="BF101" t="s">
        <v>82</v>
      </c>
      <c r="BG101" t="s">
        <v>82</v>
      </c>
      <c r="BH101" t="s">
        <v>82</v>
      </c>
      <c r="BI101" t="s">
        <v>82</v>
      </c>
      <c r="BJ101" t="s">
        <v>82</v>
      </c>
      <c r="BK101" t="s">
        <v>82</v>
      </c>
      <c r="BL101" t="s">
        <v>90</v>
      </c>
      <c r="BM101" t="s">
        <v>444</v>
      </c>
      <c r="BN101" t="s">
        <v>445</v>
      </c>
    </row>
    <row r="102" spans="1:66" x14ac:dyDescent="0.35">
      <c r="A102">
        <v>196178</v>
      </c>
      <c r="B102" t="s">
        <v>896</v>
      </c>
      <c r="C102" t="s">
        <v>65</v>
      </c>
      <c r="D102" t="s">
        <v>66</v>
      </c>
      <c r="E102" t="s">
        <v>67</v>
      </c>
      <c r="F102" t="s">
        <v>123</v>
      </c>
      <c r="G102" t="s">
        <v>69</v>
      </c>
      <c r="H102" t="s">
        <v>70</v>
      </c>
      <c r="I102" t="s">
        <v>1076</v>
      </c>
      <c r="J102" t="s">
        <v>1077</v>
      </c>
      <c r="K102" t="s">
        <v>1078</v>
      </c>
      <c r="L102" t="s">
        <v>1078</v>
      </c>
      <c r="M102" t="s">
        <v>1079</v>
      </c>
      <c r="N102" t="s">
        <v>82</v>
      </c>
      <c r="O102" t="s">
        <v>77</v>
      </c>
      <c r="P102" s="2">
        <f t="shared" si="2"/>
        <v>0</v>
      </c>
      <c r="Q102" t="s">
        <v>78</v>
      </c>
      <c r="R102" s="2">
        <f t="shared" si="3"/>
        <v>0.24777777777777776</v>
      </c>
      <c r="S102" t="s">
        <v>1080</v>
      </c>
      <c r="T102">
        <v>0</v>
      </c>
      <c r="U102">
        <v>1</v>
      </c>
      <c r="V102" t="s">
        <v>80</v>
      </c>
      <c r="W102" t="s">
        <v>82</v>
      </c>
      <c r="X102" t="s">
        <v>81</v>
      </c>
      <c r="Y102" t="s">
        <v>82</v>
      </c>
      <c r="Z102" t="s">
        <v>82</v>
      </c>
      <c r="AA102" t="s">
        <v>83</v>
      </c>
      <c r="AB102" t="s">
        <v>84</v>
      </c>
      <c r="AC102" t="s">
        <v>82</v>
      </c>
      <c r="AD102" t="s">
        <v>85</v>
      </c>
      <c r="AE102" t="s">
        <v>82</v>
      </c>
      <c r="AF102" t="s">
        <v>82</v>
      </c>
      <c r="AG102" t="s">
        <v>87</v>
      </c>
      <c r="AH102" t="s">
        <v>82</v>
      </c>
      <c r="AI102" t="s">
        <v>129</v>
      </c>
      <c r="AJ102" t="s">
        <v>82</v>
      </c>
      <c r="AK102" t="s">
        <v>82</v>
      </c>
      <c r="AL102" t="s">
        <v>82</v>
      </c>
      <c r="AM102" t="s">
        <v>82</v>
      </c>
      <c r="AN102" t="s">
        <v>82</v>
      </c>
      <c r="AO102" t="s">
        <v>82</v>
      </c>
      <c r="AP102" t="s">
        <v>82</v>
      </c>
      <c r="AQ102" t="s">
        <v>82</v>
      </c>
      <c r="AR102" t="s">
        <v>82</v>
      </c>
      <c r="AS102" t="s">
        <v>130</v>
      </c>
      <c r="AT102" t="s">
        <v>129</v>
      </c>
      <c r="AU102" t="s">
        <v>82</v>
      </c>
      <c r="AV102" t="s">
        <v>90</v>
      </c>
      <c r="AW102" t="s">
        <v>90</v>
      </c>
      <c r="AX102" t="s">
        <v>82</v>
      </c>
      <c r="AY102" t="s">
        <v>82</v>
      </c>
      <c r="AZ102" t="s">
        <v>90</v>
      </c>
      <c r="BA102" t="s">
        <v>90</v>
      </c>
      <c r="BB102" t="s">
        <v>90</v>
      </c>
      <c r="BC102" t="s">
        <v>90</v>
      </c>
      <c r="BD102" t="s">
        <v>82</v>
      </c>
      <c r="BE102" t="s">
        <v>90</v>
      </c>
      <c r="BF102" t="s">
        <v>82</v>
      </c>
      <c r="BG102" t="s">
        <v>82</v>
      </c>
      <c r="BH102" t="s">
        <v>82</v>
      </c>
      <c r="BI102" t="s">
        <v>82</v>
      </c>
      <c r="BJ102" t="s">
        <v>82</v>
      </c>
      <c r="BK102" t="s">
        <v>82</v>
      </c>
      <c r="BL102" t="s">
        <v>90</v>
      </c>
      <c r="BM102" t="s">
        <v>139</v>
      </c>
      <c r="BN102" t="s">
        <v>1081</v>
      </c>
    </row>
    <row r="103" spans="1:66" x14ac:dyDescent="0.35">
      <c r="A103">
        <v>196268</v>
      </c>
      <c r="B103" t="s">
        <v>1082</v>
      </c>
      <c r="C103" t="s">
        <v>65</v>
      </c>
      <c r="D103" t="s">
        <v>66</v>
      </c>
      <c r="E103" t="s">
        <v>67</v>
      </c>
      <c r="F103" t="s">
        <v>158</v>
      </c>
      <c r="G103" t="s">
        <v>69</v>
      </c>
      <c r="H103" t="s">
        <v>70</v>
      </c>
      <c r="I103" t="s">
        <v>1083</v>
      </c>
      <c r="J103" t="s">
        <v>1084</v>
      </c>
      <c r="K103" t="s">
        <v>1085</v>
      </c>
      <c r="L103" t="s">
        <v>1085</v>
      </c>
      <c r="M103" t="s">
        <v>1086</v>
      </c>
      <c r="N103" t="s">
        <v>1087</v>
      </c>
      <c r="O103" t="s">
        <v>77</v>
      </c>
      <c r="P103" s="2">
        <f t="shared" si="2"/>
        <v>66.066666666666663</v>
      </c>
      <c r="Q103" t="s">
        <v>1088</v>
      </c>
      <c r="R103" s="2">
        <f t="shared" si="3"/>
        <v>1.2797222222222222</v>
      </c>
      <c r="S103" t="s">
        <v>1089</v>
      </c>
      <c r="T103">
        <v>1</v>
      </c>
      <c r="U103">
        <v>1</v>
      </c>
      <c r="V103" t="s">
        <v>80</v>
      </c>
      <c r="W103" t="s">
        <v>80</v>
      </c>
      <c r="X103" t="s">
        <v>81</v>
      </c>
      <c r="Y103" t="s">
        <v>82</v>
      </c>
      <c r="Z103" t="s">
        <v>82</v>
      </c>
      <c r="AA103" t="s">
        <v>83</v>
      </c>
      <c r="AB103" t="s">
        <v>84</v>
      </c>
      <c r="AC103" t="s">
        <v>82</v>
      </c>
      <c r="AD103" t="s">
        <v>85</v>
      </c>
      <c r="AE103" t="s">
        <v>82</v>
      </c>
      <c r="AF103" t="s">
        <v>82</v>
      </c>
      <c r="AG103" t="s">
        <v>87</v>
      </c>
      <c r="AH103" t="s">
        <v>82</v>
      </c>
      <c r="AI103" t="s">
        <v>1090</v>
      </c>
      <c r="AJ103" t="s">
        <v>82</v>
      </c>
      <c r="AK103" t="s">
        <v>82</v>
      </c>
      <c r="AL103" t="s">
        <v>82</v>
      </c>
      <c r="AM103" t="s">
        <v>82</v>
      </c>
      <c r="AN103" t="s">
        <v>169</v>
      </c>
      <c r="AO103" t="s">
        <v>82</v>
      </c>
      <c r="AP103" t="s">
        <v>82</v>
      </c>
      <c r="AQ103" t="s">
        <v>82</v>
      </c>
      <c r="AR103" t="s">
        <v>82</v>
      </c>
      <c r="AS103" t="s">
        <v>88</v>
      </c>
      <c r="AT103" t="s">
        <v>82</v>
      </c>
      <c r="AU103" t="s">
        <v>6</v>
      </c>
      <c r="AV103" t="s">
        <v>90</v>
      </c>
      <c r="AW103" t="s">
        <v>90</v>
      </c>
      <c r="AX103" t="s">
        <v>82</v>
      </c>
      <c r="AY103" t="s">
        <v>82</v>
      </c>
      <c r="AZ103" t="s">
        <v>90</v>
      </c>
      <c r="BA103" t="s">
        <v>90</v>
      </c>
      <c r="BB103" t="s">
        <v>90</v>
      </c>
      <c r="BC103" t="s">
        <v>90</v>
      </c>
      <c r="BD103" t="s">
        <v>82</v>
      </c>
      <c r="BE103" t="s">
        <v>90</v>
      </c>
      <c r="BF103" t="s">
        <v>82</v>
      </c>
      <c r="BG103" t="s">
        <v>82</v>
      </c>
      <c r="BH103" t="s">
        <v>82</v>
      </c>
      <c r="BI103" t="s">
        <v>82</v>
      </c>
      <c r="BJ103" t="s">
        <v>82</v>
      </c>
      <c r="BK103" t="s">
        <v>82</v>
      </c>
      <c r="BL103" t="s">
        <v>90</v>
      </c>
      <c r="BM103" t="s">
        <v>1091</v>
      </c>
      <c r="BN103" t="s">
        <v>1092</v>
      </c>
    </row>
    <row r="104" spans="1:66" x14ac:dyDescent="0.35">
      <c r="A104">
        <v>196344</v>
      </c>
      <c r="B104" t="s">
        <v>1082</v>
      </c>
      <c r="C104" t="s">
        <v>65</v>
      </c>
      <c r="D104" t="s">
        <v>66</v>
      </c>
      <c r="E104" t="s">
        <v>67</v>
      </c>
      <c r="F104" t="s">
        <v>158</v>
      </c>
      <c r="G104" t="s">
        <v>69</v>
      </c>
      <c r="H104" t="s">
        <v>70</v>
      </c>
      <c r="I104" t="s">
        <v>1093</v>
      </c>
      <c r="J104" t="s">
        <v>1094</v>
      </c>
      <c r="K104" t="s">
        <v>1095</v>
      </c>
      <c r="L104" t="s">
        <v>1095</v>
      </c>
      <c r="M104" t="s">
        <v>1096</v>
      </c>
      <c r="N104" t="s">
        <v>1097</v>
      </c>
      <c r="O104" t="s">
        <v>77</v>
      </c>
      <c r="P104" s="2">
        <f t="shared" si="2"/>
        <v>8.5666666666666664</v>
      </c>
      <c r="Q104" t="s">
        <v>1098</v>
      </c>
      <c r="R104" s="2">
        <f t="shared" si="3"/>
        <v>0.99055555555555563</v>
      </c>
      <c r="S104" t="s">
        <v>1099</v>
      </c>
      <c r="T104">
        <v>1</v>
      </c>
      <c r="U104">
        <v>1</v>
      </c>
      <c r="V104" t="s">
        <v>80</v>
      </c>
      <c r="W104" t="s">
        <v>80</v>
      </c>
      <c r="X104" t="s">
        <v>81</v>
      </c>
      <c r="Y104" t="s">
        <v>82</v>
      </c>
      <c r="Z104" t="s">
        <v>82</v>
      </c>
      <c r="AA104" t="s">
        <v>83</v>
      </c>
      <c r="AB104" t="s">
        <v>84</v>
      </c>
      <c r="AC104" t="s">
        <v>82</v>
      </c>
      <c r="AD104" t="s">
        <v>85</v>
      </c>
      <c r="AE104" t="s">
        <v>82</v>
      </c>
      <c r="AF104" t="s">
        <v>82</v>
      </c>
      <c r="AG104" t="s">
        <v>87</v>
      </c>
      <c r="AH104" t="s">
        <v>1100</v>
      </c>
      <c r="AI104" t="s">
        <v>1101</v>
      </c>
      <c r="AJ104" t="s">
        <v>82</v>
      </c>
      <c r="AK104" t="s">
        <v>82</v>
      </c>
      <c r="AL104" t="s">
        <v>82</v>
      </c>
      <c r="AM104" t="s">
        <v>82</v>
      </c>
      <c r="AN104" t="s">
        <v>169</v>
      </c>
      <c r="AO104" t="s">
        <v>82</v>
      </c>
      <c r="AP104" t="s">
        <v>82</v>
      </c>
      <c r="AQ104" t="s">
        <v>82</v>
      </c>
      <c r="AR104" t="s">
        <v>82</v>
      </c>
      <c r="AS104" t="s">
        <v>88</v>
      </c>
      <c r="AT104" t="s">
        <v>1102</v>
      </c>
      <c r="AU104" t="s">
        <v>6</v>
      </c>
      <c r="AV104" t="s">
        <v>90</v>
      </c>
      <c r="AW104" t="s">
        <v>90</v>
      </c>
      <c r="AX104" t="s">
        <v>82</v>
      </c>
      <c r="AY104" t="s">
        <v>82</v>
      </c>
      <c r="AZ104" t="s">
        <v>90</v>
      </c>
      <c r="BA104" t="s">
        <v>90</v>
      </c>
      <c r="BB104" t="s">
        <v>90</v>
      </c>
      <c r="BC104" t="s">
        <v>90</v>
      </c>
      <c r="BD104" t="s">
        <v>82</v>
      </c>
      <c r="BE104" t="s">
        <v>90</v>
      </c>
      <c r="BF104" t="s">
        <v>82</v>
      </c>
      <c r="BG104" t="s">
        <v>82</v>
      </c>
      <c r="BH104" t="s">
        <v>82</v>
      </c>
      <c r="BI104" t="s">
        <v>82</v>
      </c>
      <c r="BJ104" t="s">
        <v>82</v>
      </c>
      <c r="BK104" t="s">
        <v>82</v>
      </c>
      <c r="BL104" t="s">
        <v>90</v>
      </c>
      <c r="BM104" t="s">
        <v>1103</v>
      </c>
      <c r="BN104" t="s">
        <v>1104</v>
      </c>
    </row>
    <row r="105" spans="1:66" x14ac:dyDescent="0.35">
      <c r="A105">
        <v>196549</v>
      </c>
      <c r="B105" t="s">
        <v>896</v>
      </c>
      <c r="C105" t="s">
        <v>65</v>
      </c>
      <c r="D105" t="s">
        <v>66</v>
      </c>
      <c r="E105" t="s">
        <v>67</v>
      </c>
      <c r="F105" t="s">
        <v>123</v>
      </c>
      <c r="G105" t="s">
        <v>69</v>
      </c>
      <c r="H105" t="s">
        <v>70</v>
      </c>
      <c r="I105" t="s">
        <v>1105</v>
      </c>
      <c r="J105" t="s">
        <v>1106</v>
      </c>
      <c r="K105" t="s">
        <v>1107</v>
      </c>
      <c r="L105" t="s">
        <v>1107</v>
      </c>
      <c r="M105" t="s">
        <v>1108</v>
      </c>
      <c r="N105" t="s">
        <v>82</v>
      </c>
      <c r="O105" t="s">
        <v>77</v>
      </c>
      <c r="P105" s="2">
        <f t="shared" si="2"/>
        <v>0</v>
      </c>
      <c r="Q105" t="s">
        <v>78</v>
      </c>
      <c r="R105" s="2">
        <f t="shared" si="3"/>
        <v>0.23222222222222222</v>
      </c>
      <c r="S105" t="s">
        <v>1109</v>
      </c>
      <c r="T105">
        <v>0</v>
      </c>
      <c r="U105">
        <v>1</v>
      </c>
      <c r="V105" t="s">
        <v>80</v>
      </c>
      <c r="W105" t="s">
        <v>82</v>
      </c>
      <c r="X105" t="s">
        <v>81</v>
      </c>
      <c r="Y105" t="s">
        <v>82</v>
      </c>
      <c r="Z105" t="s">
        <v>82</v>
      </c>
      <c r="AA105" t="s">
        <v>83</v>
      </c>
      <c r="AB105" t="s">
        <v>84</v>
      </c>
      <c r="AC105" t="s">
        <v>82</v>
      </c>
      <c r="AD105" t="s">
        <v>85</v>
      </c>
      <c r="AE105" t="s">
        <v>82</v>
      </c>
      <c r="AF105" t="s">
        <v>82</v>
      </c>
      <c r="AG105" t="s">
        <v>87</v>
      </c>
      <c r="AH105" t="s">
        <v>82</v>
      </c>
      <c r="AI105" t="s">
        <v>129</v>
      </c>
      <c r="AJ105" t="s">
        <v>82</v>
      </c>
      <c r="AK105" t="s">
        <v>82</v>
      </c>
      <c r="AL105" t="s">
        <v>82</v>
      </c>
      <c r="AM105" t="s">
        <v>82</v>
      </c>
      <c r="AN105" t="s">
        <v>82</v>
      </c>
      <c r="AO105" t="s">
        <v>82</v>
      </c>
      <c r="AP105" t="s">
        <v>82</v>
      </c>
      <c r="AQ105" t="s">
        <v>82</v>
      </c>
      <c r="AR105" t="s">
        <v>82</v>
      </c>
      <c r="AS105" t="s">
        <v>130</v>
      </c>
      <c r="AT105" t="s">
        <v>129</v>
      </c>
      <c r="AU105" t="s">
        <v>82</v>
      </c>
      <c r="AV105" t="s">
        <v>90</v>
      </c>
      <c r="AW105" t="s">
        <v>90</v>
      </c>
      <c r="AX105" t="s">
        <v>82</v>
      </c>
      <c r="AY105" t="s">
        <v>82</v>
      </c>
      <c r="AZ105" t="s">
        <v>90</v>
      </c>
      <c r="BA105" t="s">
        <v>90</v>
      </c>
      <c r="BB105" t="s">
        <v>90</v>
      </c>
      <c r="BC105" t="s">
        <v>90</v>
      </c>
      <c r="BD105" t="s">
        <v>82</v>
      </c>
      <c r="BE105" t="s">
        <v>90</v>
      </c>
      <c r="BF105" t="s">
        <v>82</v>
      </c>
      <c r="BG105" t="s">
        <v>82</v>
      </c>
      <c r="BH105" t="s">
        <v>82</v>
      </c>
      <c r="BI105" t="s">
        <v>82</v>
      </c>
      <c r="BJ105" t="s">
        <v>82</v>
      </c>
      <c r="BK105" t="s">
        <v>82</v>
      </c>
      <c r="BL105" t="s">
        <v>90</v>
      </c>
      <c r="BM105" t="s">
        <v>139</v>
      </c>
      <c r="BN105" t="s">
        <v>1110</v>
      </c>
    </row>
    <row r="106" spans="1:66" x14ac:dyDescent="0.35">
      <c r="A106">
        <v>196569</v>
      </c>
      <c r="B106" t="s">
        <v>1111</v>
      </c>
      <c r="C106" t="s">
        <v>65</v>
      </c>
      <c r="D106" t="s">
        <v>66</v>
      </c>
      <c r="E106" t="s">
        <v>67</v>
      </c>
      <c r="F106" t="s">
        <v>158</v>
      </c>
      <c r="G106" t="s">
        <v>69</v>
      </c>
      <c r="H106" t="s">
        <v>70</v>
      </c>
      <c r="I106" t="s">
        <v>1112</v>
      </c>
      <c r="J106" t="s">
        <v>1113</v>
      </c>
      <c r="K106" t="s">
        <v>1114</v>
      </c>
      <c r="L106" t="s">
        <v>1114</v>
      </c>
      <c r="M106" t="s">
        <v>1115</v>
      </c>
      <c r="N106" t="s">
        <v>82</v>
      </c>
      <c r="O106" t="s">
        <v>77</v>
      </c>
      <c r="P106" s="2">
        <f t="shared" si="2"/>
        <v>0</v>
      </c>
      <c r="Q106" t="s">
        <v>78</v>
      </c>
      <c r="R106" s="2">
        <f t="shared" si="3"/>
        <v>0.56694444444444447</v>
      </c>
      <c r="S106" t="s">
        <v>1116</v>
      </c>
      <c r="T106">
        <v>0</v>
      </c>
      <c r="U106">
        <v>1</v>
      </c>
      <c r="V106" t="s">
        <v>80</v>
      </c>
      <c r="W106" t="s">
        <v>82</v>
      </c>
      <c r="X106" t="s">
        <v>81</v>
      </c>
      <c r="Y106" t="s">
        <v>82</v>
      </c>
      <c r="Z106" t="s">
        <v>82</v>
      </c>
      <c r="AA106" t="s">
        <v>83</v>
      </c>
      <c r="AB106" t="s">
        <v>84</v>
      </c>
      <c r="AC106" t="s">
        <v>82</v>
      </c>
      <c r="AD106" t="s">
        <v>85</v>
      </c>
      <c r="AE106" t="s">
        <v>82</v>
      </c>
      <c r="AF106" t="s">
        <v>82</v>
      </c>
      <c r="AG106" t="s">
        <v>887</v>
      </c>
      <c r="AH106" t="s">
        <v>82</v>
      </c>
      <c r="AI106" t="s">
        <v>1090</v>
      </c>
      <c r="AJ106" t="s">
        <v>82</v>
      </c>
      <c r="AK106" t="s">
        <v>82</v>
      </c>
      <c r="AL106" t="s">
        <v>82</v>
      </c>
      <c r="AM106" t="s">
        <v>82</v>
      </c>
      <c r="AN106" t="s">
        <v>1117</v>
      </c>
      <c r="AO106" t="s">
        <v>82</v>
      </c>
      <c r="AP106" t="s">
        <v>82</v>
      </c>
      <c r="AQ106" t="s">
        <v>82</v>
      </c>
      <c r="AR106" t="s">
        <v>82</v>
      </c>
      <c r="AS106" t="s">
        <v>130</v>
      </c>
      <c r="AT106" t="s">
        <v>82</v>
      </c>
      <c r="AU106" t="s">
        <v>82</v>
      </c>
      <c r="AV106" t="s">
        <v>90</v>
      </c>
      <c r="AW106" t="s">
        <v>90</v>
      </c>
      <c r="AX106" t="s">
        <v>82</v>
      </c>
      <c r="AY106" t="s">
        <v>82</v>
      </c>
      <c r="AZ106" t="s">
        <v>90</v>
      </c>
      <c r="BA106" t="s">
        <v>90</v>
      </c>
      <c r="BB106" t="s">
        <v>90</v>
      </c>
      <c r="BC106" t="s">
        <v>90</v>
      </c>
      <c r="BD106" t="s">
        <v>82</v>
      </c>
      <c r="BE106" t="s">
        <v>90</v>
      </c>
      <c r="BF106" t="s">
        <v>82</v>
      </c>
      <c r="BG106" t="s">
        <v>82</v>
      </c>
      <c r="BH106" t="s">
        <v>82</v>
      </c>
      <c r="BI106" t="s">
        <v>82</v>
      </c>
      <c r="BJ106" t="s">
        <v>82</v>
      </c>
      <c r="BK106" t="s">
        <v>82</v>
      </c>
      <c r="BL106" t="s">
        <v>90</v>
      </c>
      <c r="BM106" t="s">
        <v>244</v>
      </c>
      <c r="BN106" t="s">
        <v>245</v>
      </c>
    </row>
    <row r="107" spans="1:66" x14ac:dyDescent="0.35">
      <c r="A107">
        <v>196587</v>
      </c>
      <c r="B107" t="s">
        <v>410</v>
      </c>
      <c r="C107" t="s">
        <v>65</v>
      </c>
      <c r="D107" t="s">
        <v>66</v>
      </c>
      <c r="E107" t="s">
        <v>67</v>
      </c>
      <c r="F107" t="s">
        <v>123</v>
      </c>
      <c r="G107" t="s">
        <v>69</v>
      </c>
      <c r="H107" t="s">
        <v>70</v>
      </c>
      <c r="I107" t="s">
        <v>1118</v>
      </c>
      <c r="J107" t="s">
        <v>1119</v>
      </c>
      <c r="K107" t="s">
        <v>1120</v>
      </c>
      <c r="L107" t="s">
        <v>1120</v>
      </c>
      <c r="M107" t="s">
        <v>1121</v>
      </c>
      <c r="N107" t="s">
        <v>82</v>
      </c>
      <c r="O107" t="s">
        <v>77</v>
      </c>
      <c r="P107" s="2">
        <f t="shared" si="2"/>
        <v>0</v>
      </c>
      <c r="Q107" t="s">
        <v>78</v>
      </c>
      <c r="R107" s="2">
        <f t="shared" si="3"/>
        <v>1.2777777777777779E-2</v>
      </c>
      <c r="S107" t="s">
        <v>1122</v>
      </c>
      <c r="T107">
        <v>0</v>
      </c>
      <c r="U107">
        <v>1</v>
      </c>
      <c r="V107" t="s">
        <v>80</v>
      </c>
      <c r="W107" t="s">
        <v>82</v>
      </c>
      <c r="X107" t="s">
        <v>81</v>
      </c>
      <c r="Y107" t="s">
        <v>82</v>
      </c>
      <c r="Z107" t="s">
        <v>82</v>
      </c>
      <c r="AA107" t="s">
        <v>83</v>
      </c>
      <c r="AB107" t="s">
        <v>84</v>
      </c>
      <c r="AC107" t="s">
        <v>82</v>
      </c>
      <c r="AD107" t="s">
        <v>85</v>
      </c>
      <c r="AE107" t="s">
        <v>82</v>
      </c>
      <c r="AF107" t="s">
        <v>82</v>
      </c>
      <c r="AG107" t="s">
        <v>87</v>
      </c>
      <c r="AH107" t="s">
        <v>82</v>
      </c>
      <c r="AI107" t="s">
        <v>129</v>
      </c>
      <c r="AJ107" t="s">
        <v>82</v>
      </c>
      <c r="AK107" t="s">
        <v>82</v>
      </c>
      <c r="AL107" t="s">
        <v>82</v>
      </c>
      <c r="AM107" t="s">
        <v>82</v>
      </c>
      <c r="AN107" t="s">
        <v>82</v>
      </c>
      <c r="AO107" t="s">
        <v>82</v>
      </c>
      <c r="AP107" t="s">
        <v>82</v>
      </c>
      <c r="AQ107" t="s">
        <v>82</v>
      </c>
      <c r="AR107" t="s">
        <v>82</v>
      </c>
      <c r="AS107" t="s">
        <v>130</v>
      </c>
      <c r="AT107" t="s">
        <v>129</v>
      </c>
      <c r="AU107" t="s">
        <v>82</v>
      </c>
      <c r="AV107" t="s">
        <v>90</v>
      </c>
      <c r="AW107" t="s">
        <v>90</v>
      </c>
      <c r="AX107" t="s">
        <v>82</v>
      </c>
      <c r="AY107" t="s">
        <v>82</v>
      </c>
      <c r="AZ107" t="s">
        <v>90</v>
      </c>
      <c r="BA107" t="s">
        <v>90</v>
      </c>
      <c r="BB107" t="s">
        <v>90</v>
      </c>
      <c r="BC107" t="s">
        <v>90</v>
      </c>
      <c r="BD107" t="s">
        <v>82</v>
      </c>
      <c r="BE107" t="s">
        <v>90</v>
      </c>
      <c r="BF107" t="s">
        <v>82</v>
      </c>
      <c r="BG107" t="s">
        <v>82</v>
      </c>
      <c r="BH107" t="s">
        <v>82</v>
      </c>
      <c r="BI107" t="s">
        <v>82</v>
      </c>
      <c r="BJ107" t="s">
        <v>82</v>
      </c>
      <c r="BK107" t="s">
        <v>82</v>
      </c>
      <c r="BL107" t="s">
        <v>90</v>
      </c>
      <c r="BM107" t="s">
        <v>139</v>
      </c>
      <c r="BN107" t="s">
        <v>1123</v>
      </c>
    </row>
    <row r="108" spans="1:66" x14ac:dyDescent="0.35">
      <c r="A108">
        <v>196637</v>
      </c>
      <c r="B108" t="s">
        <v>1124</v>
      </c>
      <c r="C108" t="s">
        <v>65</v>
      </c>
      <c r="D108" t="s">
        <v>66</v>
      </c>
      <c r="E108" t="s">
        <v>67</v>
      </c>
      <c r="F108" t="s">
        <v>82</v>
      </c>
      <c r="G108" t="s">
        <v>69</v>
      </c>
      <c r="H108" t="s">
        <v>70</v>
      </c>
      <c r="I108" t="s">
        <v>1125</v>
      </c>
      <c r="J108" t="s">
        <v>1126</v>
      </c>
      <c r="K108" t="s">
        <v>1127</v>
      </c>
      <c r="L108" t="s">
        <v>1128</v>
      </c>
      <c r="M108" t="s">
        <v>1129</v>
      </c>
      <c r="N108" t="s">
        <v>1130</v>
      </c>
      <c r="O108" t="s">
        <v>77</v>
      </c>
      <c r="P108" s="2">
        <f t="shared" si="2"/>
        <v>40.766666666666666</v>
      </c>
      <c r="Q108" t="s">
        <v>1131</v>
      </c>
      <c r="R108" s="2">
        <f t="shared" si="3"/>
        <v>23.003888888888888</v>
      </c>
      <c r="S108" t="s">
        <v>1132</v>
      </c>
      <c r="T108">
        <v>2</v>
      </c>
      <c r="U108">
        <v>2</v>
      </c>
      <c r="V108" t="s">
        <v>80</v>
      </c>
      <c r="W108" t="s">
        <v>80</v>
      </c>
      <c r="X108" t="s">
        <v>81</v>
      </c>
      <c r="Y108" t="s">
        <v>82</v>
      </c>
      <c r="Z108" t="s">
        <v>82</v>
      </c>
      <c r="AA108" t="s">
        <v>83</v>
      </c>
      <c r="AB108" t="s">
        <v>84</v>
      </c>
      <c r="AC108" t="s">
        <v>82</v>
      </c>
      <c r="AD108" t="s">
        <v>85</v>
      </c>
      <c r="AE108" t="s">
        <v>82</v>
      </c>
      <c r="AF108" t="s">
        <v>82</v>
      </c>
      <c r="AG108" t="s">
        <v>87</v>
      </c>
      <c r="AH108" t="s">
        <v>1133</v>
      </c>
      <c r="AI108" t="s">
        <v>1134</v>
      </c>
      <c r="AJ108" t="s">
        <v>82</v>
      </c>
      <c r="AK108" t="s">
        <v>82</v>
      </c>
      <c r="AL108" t="s">
        <v>82</v>
      </c>
      <c r="AM108" t="s">
        <v>82</v>
      </c>
      <c r="AN108" t="s">
        <v>82</v>
      </c>
      <c r="AO108" t="s">
        <v>82</v>
      </c>
      <c r="AP108" t="s">
        <v>82</v>
      </c>
      <c r="AQ108" t="s">
        <v>82</v>
      </c>
      <c r="AR108" t="s">
        <v>82</v>
      </c>
      <c r="AS108" t="s">
        <v>88</v>
      </c>
      <c r="AT108" t="s">
        <v>1135</v>
      </c>
      <c r="AU108" t="s">
        <v>6</v>
      </c>
      <c r="AV108" t="s">
        <v>90</v>
      </c>
      <c r="AW108" t="s">
        <v>91</v>
      </c>
      <c r="AX108" t="s">
        <v>82</v>
      </c>
      <c r="AY108" t="s">
        <v>82</v>
      </c>
      <c r="AZ108" t="s">
        <v>90</v>
      </c>
      <c r="BA108" t="s">
        <v>90</v>
      </c>
      <c r="BB108" t="s">
        <v>91</v>
      </c>
      <c r="BC108" t="s">
        <v>91</v>
      </c>
      <c r="BD108" t="s">
        <v>82</v>
      </c>
      <c r="BE108" t="s">
        <v>90</v>
      </c>
      <c r="BF108" t="s">
        <v>82</v>
      </c>
      <c r="BG108" t="s">
        <v>82</v>
      </c>
      <c r="BH108" t="s">
        <v>82</v>
      </c>
      <c r="BI108" t="s">
        <v>82</v>
      </c>
      <c r="BJ108" t="s">
        <v>82</v>
      </c>
      <c r="BK108" t="s">
        <v>82</v>
      </c>
      <c r="BL108" t="s">
        <v>90</v>
      </c>
      <c r="BM108" t="s">
        <v>1136</v>
      </c>
      <c r="BN108" t="s">
        <v>1137</v>
      </c>
    </row>
    <row r="109" spans="1:66" x14ac:dyDescent="0.35">
      <c r="A109">
        <v>197347</v>
      </c>
      <c r="B109" t="s">
        <v>1138</v>
      </c>
      <c r="C109" t="s">
        <v>65</v>
      </c>
      <c r="D109" t="s">
        <v>66</v>
      </c>
      <c r="E109" t="s">
        <v>95</v>
      </c>
      <c r="F109" t="s">
        <v>158</v>
      </c>
      <c r="G109" t="s">
        <v>69</v>
      </c>
      <c r="H109" t="s">
        <v>70</v>
      </c>
      <c r="I109" t="s">
        <v>1139</v>
      </c>
      <c r="J109" t="s">
        <v>1140</v>
      </c>
      <c r="K109" t="s">
        <v>1141</v>
      </c>
      <c r="L109" t="s">
        <v>1141</v>
      </c>
      <c r="M109" t="s">
        <v>1142</v>
      </c>
      <c r="N109" t="s">
        <v>1143</v>
      </c>
      <c r="O109" t="s">
        <v>77</v>
      </c>
      <c r="P109" s="2">
        <f t="shared" si="2"/>
        <v>1.6666666666666665</v>
      </c>
      <c r="Q109" t="s">
        <v>1144</v>
      </c>
      <c r="R109" s="2">
        <f t="shared" si="3"/>
        <v>7.0766666666666662</v>
      </c>
      <c r="S109" t="s">
        <v>1145</v>
      </c>
      <c r="T109">
        <v>1</v>
      </c>
      <c r="U109">
        <v>1</v>
      </c>
      <c r="V109" t="s">
        <v>80</v>
      </c>
      <c r="W109" t="s">
        <v>80</v>
      </c>
      <c r="X109" t="s">
        <v>81</v>
      </c>
      <c r="Y109" t="s">
        <v>82</v>
      </c>
      <c r="Z109" t="s">
        <v>82</v>
      </c>
      <c r="AA109" t="s">
        <v>83</v>
      </c>
      <c r="AB109" t="s">
        <v>84</v>
      </c>
      <c r="AC109" t="s">
        <v>82</v>
      </c>
      <c r="AD109" t="s">
        <v>85</v>
      </c>
      <c r="AE109" t="s">
        <v>1146</v>
      </c>
      <c r="AF109" t="s">
        <v>82</v>
      </c>
      <c r="AG109" t="s">
        <v>87</v>
      </c>
      <c r="AH109" t="s">
        <v>82</v>
      </c>
      <c r="AI109" t="s">
        <v>1090</v>
      </c>
      <c r="AJ109" t="s">
        <v>82</v>
      </c>
      <c r="AK109" t="s">
        <v>82</v>
      </c>
      <c r="AL109" t="s">
        <v>82</v>
      </c>
      <c r="AM109" t="s">
        <v>82</v>
      </c>
      <c r="AN109" t="s">
        <v>1147</v>
      </c>
      <c r="AO109" t="s">
        <v>82</v>
      </c>
      <c r="AP109" t="s">
        <v>82</v>
      </c>
      <c r="AQ109" t="s">
        <v>82</v>
      </c>
      <c r="AR109" t="s">
        <v>82</v>
      </c>
      <c r="AS109" t="s">
        <v>88</v>
      </c>
      <c r="AT109" t="s">
        <v>1146</v>
      </c>
      <c r="AU109" t="s">
        <v>6</v>
      </c>
      <c r="AV109" t="s">
        <v>90</v>
      </c>
      <c r="AW109" t="s">
        <v>90</v>
      </c>
      <c r="AX109" t="s">
        <v>82</v>
      </c>
      <c r="AY109" t="s">
        <v>82</v>
      </c>
      <c r="AZ109" t="s">
        <v>90</v>
      </c>
      <c r="BA109" t="s">
        <v>90</v>
      </c>
      <c r="BB109" t="s">
        <v>90</v>
      </c>
      <c r="BC109" t="s">
        <v>90</v>
      </c>
      <c r="BD109" t="s">
        <v>82</v>
      </c>
      <c r="BE109" t="s">
        <v>90</v>
      </c>
      <c r="BF109" t="s">
        <v>82</v>
      </c>
      <c r="BG109" t="s">
        <v>82</v>
      </c>
      <c r="BH109" t="s">
        <v>82</v>
      </c>
      <c r="BI109" t="s">
        <v>82</v>
      </c>
      <c r="BJ109" t="s">
        <v>82</v>
      </c>
      <c r="BK109" t="s">
        <v>82</v>
      </c>
      <c r="BL109" t="s">
        <v>90</v>
      </c>
      <c r="BM109" t="s">
        <v>1146</v>
      </c>
      <c r="BN109" t="s">
        <v>1148</v>
      </c>
    </row>
    <row r="110" spans="1:66" x14ac:dyDescent="0.35">
      <c r="A110">
        <v>197522</v>
      </c>
      <c r="B110" t="s">
        <v>1149</v>
      </c>
      <c r="C110" t="s">
        <v>65</v>
      </c>
      <c r="D110" t="s">
        <v>66</v>
      </c>
      <c r="E110" t="s">
        <v>67</v>
      </c>
      <c r="F110" t="s">
        <v>123</v>
      </c>
      <c r="G110" t="s">
        <v>69</v>
      </c>
      <c r="H110" t="s">
        <v>70</v>
      </c>
      <c r="I110" t="s">
        <v>1150</v>
      </c>
      <c r="J110" t="s">
        <v>1151</v>
      </c>
      <c r="K110" t="s">
        <v>1152</v>
      </c>
      <c r="L110" t="s">
        <v>1152</v>
      </c>
      <c r="M110" t="s">
        <v>1153</v>
      </c>
      <c r="N110" t="s">
        <v>82</v>
      </c>
      <c r="O110" t="s">
        <v>77</v>
      </c>
      <c r="P110" s="2">
        <f t="shared" si="2"/>
        <v>0</v>
      </c>
      <c r="Q110" t="s">
        <v>78</v>
      </c>
      <c r="R110" s="2">
        <f t="shared" si="3"/>
        <v>2.7777777777777778E-4</v>
      </c>
      <c r="S110" t="s">
        <v>1052</v>
      </c>
      <c r="T110">
        <v>0</v>
      </c>
      <c r="U110">
        <v>1</v>
      </c>
      <c r="V110" t="s">
        <v>80</v>
      </c>
      <c r="W110" t="s">
        <v>82</v>
      </c>
      <c r="X110" t="s">
        <v>81</v>
      </c>
      <c r="Y110" t="s">
        <v>82</v>
      </c>
      <c r="Z110" t="s">
        <v>82</v>
      </c>
      <c r="AA110" t="s">
        <v>83</v>
      </c>
      <c r="AB110" t="s">
        <v>84</v>
      </c>
      <c r="AC110" t="s">
        <v>82</v>
      </c>
      <c r="AD110" t="s">
        <v>85</v>
      </c>
      <c r="AE110" t="s">
        <v>82</v>
      </c>
      <c r="AF110" t="s">
        <v>82</v>
      </c>
      <c r="AG110" t="s">
        <v>82</v>
      </c>
      <c r="AH110" t="s">
        <v>82</v>
      </c>
      <c r="AI110" t="s">
        <v>82</v>
      </c>
      <c r="AJ110" t="s">
        <v>82</v>
      </c>
      <c r="AK110" t="s">
        <v>82</v>
      </c>
      <c r="AL110" t="s">
        <v>82</v>
      </c>
      <c r="AM110" t="s">
        <v>82</v>
      </c>
      <c r="AN110" t="s">
        <v>82</v>
      </c>
      <c r="AO110" t="s">
        <v>82</v>
      </c>
      <c r="AP110" t="s">
        <v>82</v>
      </c>
      <c r="AQ110" t="s">
        <v>82</v>
      </c>
      <c r="AR110" t="s">
        <v>82</v>
      </c>
      <c r="AS110" t="s">
        <v>82</v>
      </c>
      <c r="AT110" t="s">
        <v>82</v>
      </c>
      <c r="AU110" t="s">
        <v>82</v>
      </c>
      <c r="AV110" t="s">
        <v>90</v>
      </c>
      <c r="AW110" t="s">
        <v>90</v>
      </c>
      <c r="AX110" t="s">
        <v>82</v>
      </c>
      <c r="AY110" t="s">
        <v>82</v>
      </c>
      <c r="AZ110" t="s">
        <v>90</v>
      </c>
      <c r="BA110" t="s">
        <v>90</v>
      </c>
      <c r="BB110" t="s">
        <v>90</v>
      </c>
      <c r="BC110" t="s">
        <v>90</v>
      </c>
      <c r="BD110" t="s">
        <v>82</v>
      </c>
      <c r="BE110" t="s">
        <v>90</v>
      </c>
      <c r="BF110" t="s">
        <v>82</v>
      </c>
      <c r="BG110" t="s">
        <v>82</v>
      </c>
      <c r="BH110" t="s">
        <v>82</v>
      </c>
      <c r="BI110" t="s">
        <v>82</v>
      </c>
      <c r="BJ110" t="s">
        <v>82</v>
      </c>
      <c r="BK110" t="s">
        <v>82</v>
      </c>
      <c r="BL110" t="s">
        <v>90</v>
      </c>
      <c r="BM110" t="s">
        <v>770</v>
      </c>
      <c r="BN110" t="s">
        <v>771</v>
      </c>
    </row>
    <row r="111" spans="1:66" x14ac:dyDescent="0.35">
      <c r="A111">
        <v>197523</v>
      </c>
      <c r="B111" t="s">
        <v>896</v>
      </c>
      <c r="C111" t="s">
        <v>65</v>
      </c>
      <c r="D111" t="s">
        <v>66</v>
      </c>
      <c r="E111" t="s">
        <v>67</v>
      </c>
      <c r="F111" t="s">
        <v>123</v>
      </c>
      <c r="G111" t="s">
        <v>69</v>
      </c>
      <c r="H111" t="s">
        <v>70</v>
      </c>
      <c r="I111" t="s">
        <v>1154</v>
      </c>
      <c r="J111" t="s">
        <v>1155</v>
      </c>
      <c r="K111" t="s">
        <v>1156</v>
      </c>
      <c r="L111" t="s">
        <v>1156</v>
      </c>
      <c r="M111" t="s">
        <v>1157</v>
      </c>
      <c r="N111" t="s">
        <v>82</v>
      </c>
      <c r="O111" t="s">
        <v>77</v>
      </c>
      <c r="P111" s="2">
        <f t="shared" si="2"/>
        <v>0</v>
      </c>
      <c r="Q111" t="s">
        <v>78</v>
      </c>
      <c r="R111" s="2">
        <f t="shared" si="3"/>
        <v>6.4166666666666664E-2</v>
      </c>
      <c r="S111" t="s">
        <v>1158</v>
      </c>
      <c r="T111">
        <v>0</v>
      </c>
      <c r="U111">
        <v>1</v>
      </c>
      <c r="V111" t="s">
        <v>80</v>
      </c>
      <c r="W111" t="s">
        <v>82</v>
      </c>
      <c r="X111" t="s">
        <v>81</v>
      </c>
      <c r="Y111" t="s">
        <v>82</v>
      </c>
      <c r="Z111" t="s">
        <v>82</v>
      </c>
      <c r="AA111" t="s">
        <v>83</v>
      </c>
      <c r="AB111" t="s">
        <v>84</v>
      </c>
      <c r="AC111" t="s">
        <v>82</v>
      </c>
      <c r="AD111" t="s">
        <v>85</v>
      </c>
      <c r="AE111" t="s">
        <v>82</v>
      </c>
      <c r="AF111" t="s">
        <v>82</v>
      </c>
      <c r="AG111" t="s">
        <v>87</v>
      </c>
      <c r="AH111" t="s">
        <v>82</v>
      </c>
      <c r="AI111" t="s">
        <v>129</v>
      </c>
      <c r="AJ111" t="s">
        <v>82</v>
      </c>
      <c r="AK111" t="s">
        <v>82</v>
      </c>
      <c r="AL111" t="s">
        <v>82</v>
      </c>
      <c r="AM111" t="s">
        <v>82</v>
      </c>
      <c r="AN111" t="s">
        <v>82</v>
      </c>
      <c r="AO111" t="s">
        <v>82</v>
      </c>
      <c r="AP111" t="s">
        <v>82</v>
      </c>
      <c r="AQ111" t="s">
        <v>82</v>
      </c>
      <c r="AR111" t="s">
        <v>82</v>
      </c>
      <c r="AS111" t="s">
        <v>130</v>
      </c>
      <c r="AT111" t="s">
        <v>129</v>
      </c>
      <c r="AU111" t="s">
        <v>82</v>
      </c>
      <c r="AV111" t="s">
        <v>90</v>
      </c>
      <c r="AW111" t="s">
        <v>90</v>
      </c>
      <c r="AX111" t="s">
        <v>82</v>
      </c>
      <c r="AY111" t="s">
        <v>82</v>
      </c>
      <c r="AZ111" t="s">
        <v>90</v>
      </c>
      <c r="BA111" t="s">
        <v>90</v>
      </c>
      <c r="BB111" t="s">
        <v>90</v>
      </c>
      <c r="BC111" t="s">
        <v>90</v>
      </c>
      <c r="BD111" t="s">
        <v>82</v>
      </c>
      <c r="BE111" t="s">
        <v>90</v>
      </c>
      <c r="BF111" t="s">
        <v>82</v>
      </c>
      <c r="BG111" t="s">
        <v>82</v>
      </c>
      <c r="BH111" t="s">
        <v>82</v>
      </c>
      <c r="BI111" t="s">
        <v>82</v>
      </c>
      <c r="BJ111" t="s">
        <v>82</v>
      </c>
      <c r="BK111" t="s">
        <v>82</v>
      </c>
      <c r="BL111" t="s">
        <v>90</v>
      </c>
      <c r="BM111" t="s">
        <v>139</v>
      </c>
      <c r="BN111" t="s">
        <v>1159</v>
      </c>
    </row>
    <row r="112" spans="1:66" x14ac:dyDescent="0.35">
      <c r="A112">
        <v>197558</v>
      </c>
      <c r="B112" t="s">
        <v>896</v>
      </c>
      <c r="C112" t="s">
        <v>65</v>
      </c>
      <c r="D112" t="s">
        <v>66</v>
      </c>
      <c r="E112" t="s">
        <v>67</v>
      </c>
      <c r="F112" t="s">
        <v>123</v>
      </c>
      <c r="G112" t="s">
        <v>69</v>
      </c>
      <c r="H112" t="s">
        <v>70</v>
      </c>
      <c r="I112" t="s">
        <v>1160</v>
      </c>
      <c r="J112" t="s">
        <v>1161</v>
      </c>
      <c r="K112" t="s">
        <v>1162</v>
      </c>
      <c r="L112" t="s">
        <v>1162</v>
      </c>
      <c r="M112" t="s">
        <v>1163</v>
      </c>
      <c r="N112" t="s">
        <v>82</v>
      </c>
      <c r="O112" t="s">
        <v>77</v>
      </c>
      <c r="P112" s="2">
        <f t="shared" si="2"/>
        <v>0</v>
      </c>
      <c r="Q112" t="s">
        <v>78</v>
      </c>
      <c r="R112" s="2">
        <f t="shared" si="3"/>
        <v>0.13027777777777777</v>
      </c>
      <c r="S112" t="s">
        <v>1164</v>
      </c>
      <c r="T112">
        <v>0</v>
      </c>
      <c r="U112">
        <v>1</v>
      </c>
      <c r="V112" t="s">
        <v>80</v>
      </c>
      <c r="W112" t="s">
        <v>82</v>
      </c>
      <c r="X112" t="s">
        <v>81</v>
      </c>
      <c r="Y112" t="s">
        <v>82</v>
      </c>
      <c r="Z112" t="s">
        <v>82</v>
      </c>
      <c r="AA112" t="s">
        <v>83</v>
      </c>
      <c r="AB112" t="s">
        <v>84</v>
      </c>
      <c r="AC112" t="s">
        <v>82</v>
      </c>
      <c r="AD112" t="s">
        <v>85</v>
      </c>
      <c r="AE112" t="s">
        <v>82</v>
      </c>
      <c r="AF112" t="s">
        <v>82</v>
      </c>
      <c r="AG112" t="s">
        <v>87</v>
      </c>
      <c r="AH112" t="s">
        <v>82</v>
      </c>
      <c r="AI112" t="s">
        <v>129</v>
      </c>
      <c r="AJ112" t="s">
        <v>82</v>
      </c>
      <c r="AK112" t="s">
        <v>82</v>
      </c>
      <c r="AL112" t="s">
        <v>82</v>
      </c>
      <c r="AM112" t="s">
        <v>82</v>
      </c>
      <c r="AN112" t="s">
        <v>82</v>
      </c>
      <c r="AO112" t="s">
        <v>82</v>
      </c>
      <c r="AP112" t="s">
        <v>82</v>
      </c>
      <c r="AQ112" t="s">
        <v>82</v>
      </c>
      <c r="AR112" t="s">
        <v>82</v>
      </c>
      <c r="AS112" t="s">
        <v>130</v>
      </c>
      <c r="AT112" t="s">
        <v>129</v>
      </c>
      <c r="AU112" t="s">
        <v>82</v>
      </c>
      <c r="AV112" t="s">
        <v>90</v>
      </c>
      <c r="AW112" t="s">
        <v>90</v>
      </c>
      <c r="AX112" t="s">
        <v>82</v>
      </c>
      <c r="AY112" t="s">
        <v>82</v>
      </c>
      <c r="AZ112" t="s">
        <v>90</v>
      </c>
      <c r="BA112" t="s">
        <v>90</v>
      </c>
      <c r="BB112" t="s">
        <v>90</v>
      </c>
      <c r="BC112" t="s">
        <v>90</v>
      </c>
      <c r="BD112" t="s">
        <v>82</v>
      </c>
      <c r="BE112" t="s">
        <v>90</v>
      </c>
      <c r="BF112" t="s">
        <v>82</v>
      </c>
      <c r="BG112" t="s">
        <v>82</v>
      </c>
      <c r="BH112" t="s">
        <v>82</v>
      </c>
      <c r="BI112" t="s">
        <v>82</v>
      </c>
      <c r="BJ112" t="s">
        <v>82</v>
      </c>
      <c r="BK112" t="s">
        <v>82</v>
      </c>
      <c r="BL112" t="s">
        <v>90</v>
      </c>
      <c r="BM112" t="s">
        <v>139</v>
      </c>
      <c r="BN112" t="s">
        <v>1165</v>
      </c>
    </row>
    <row r="113" spans="1:66" x14ac:dyDescent="0.35">
      <c r="A113">
        <v>197566</v>
      </c>
      <c r="B113" t="s">
        <v>1166</v>
      </c>
      <c r="C113" t="s">
        <v>65</v>
      </c>
      <c r="D113" t="s">
        <v>66</v>
      </c>
      <c r="E113" t="s">
        <v>67</v>
      </c>
      <c r="F113" t="s">
        <v>158</v>
      </c>
      <c r="G113" t="s">
        <v>69</v>
      </c>
      <c r="H113" t="s">
        <v>70</v>
      </c>
      <c r="I113" t="s">
        <v>1167</v>
      </c>
      <c r="J113" t="s">
        <v>1168</v>
      </c>
      <c r="K113" t="s">
        <v>1169</v>
      </c>
      <c r="L113" t="s">
        <v>1169</v>
      </c>
      <c r="M113" t="s">
        <v>1170</v>
      </c>
      <c r="N113" t="s">
        <v>1171</v>
      </c>
      <c r="O113" t="s">
        <v>77</v>
      </c>
      <c r="P113" s="2">
        <f t="shared" si="2"/>
        <v>37.633333333333333</v>
      </c>
      <c r="Q113" t="s">
        <v>1172</v>
      </c>
      <c r="R113" s="2">
        <f t="shared" si="3"/>
        <v>167.77444444444444</v>
      </c>
      <c r="S113" t="s">
        <v>1173</v>
      </c>
      <c r="T113">
        <v>6</v>
      </c>
      <c r="U113">
        <v>20</v>
      </c>
      <c r="V113" t="s">
        <v>240</v>
      </c>
      <c r="W113" t="s">
        <v>80</v>
      </c>
      <c r="X113" t="s">
        <v>1174</v>
      </c>
      <c r="Y113" t="s">
        <v>82</v>
      </c>
      <c r="Z113" t="s">
        <v>82</v>
      </c>
      <c r="AA113" t="s">
        <v>83</v>
      </c>
      <c r="AB113" t="s">
        <v>84</v>
      </c>
      <c r="AC113" t="s">
        <v>82</v>
      </c>
      <c r="AD113" t="s">
        <v>85</v>
      </c>
      <c r="AE113" t="s">
        <v>82</v>
      </c>
      <c r="AF113" t="s">
        <v>82</v>
      </c>
      <c r="AG113" t="s">
        <v>87</v>
      </c>
      <c r="AH113" t="s">
        <v>1175</v>
      </c>
      <c r="AI113" t="s">
        <v>1176</v>
      </c>
      <c r="AJ113" t="s">
        <v>82</v>
      </c>
      <c r="AK113" t="s">
        <v>82</v>
      </c>
      <c r="AL113" t="s">
        <v>82</v>
      </c>
      <c r="AM113" t="s">
        <v>82</v>
      </c>
      <c r="AN113" t="s">
        <v>169</v>
      </c>
      <c r="AO113" t="s">
        <v>82</v>
      </c>
      <c r="AP113" t="s">
        <v>82</v>
      </c>
      <c r="AQ113" t="s">
        <v>82</v>
      </c>
      <c r="AR113" t="s">
        <v>82</v>
      </c>
      <c r="AS113" t="s">
        <v>88</v>
      </c>
      <c r="AT113" t="s">
        <v>1175</v>
      </c>
      <c r="AU113" t="s">
        <v>106</v>
      </c>
      <c r="AV113" t="s">
        <v>90</v>
      </c>
      <c r="AW113" t="s">
        <v>90</v>
      </c>
      <c r="AX113" t="s">
        <v>82</v>
      </c>
      <c r="AY113" t="s">
        <v>82</v>
      </c>
      <c r="AZ113" t="s">
        <v>90</v>
      </c>
      <c r="BA113" t="s">
        <v>90</v>
      </c>
      <c r="BB113" t="s">
        <v>90</v>
      </c>
      <c r="BC113" t="s">
        <v>91</v>
      </c>
      <c r="BD113" t="s">
        <v>82</v>
      </c>
      <c r="BE113" t="s">
        <v>91</v>
      </c>
      <c r="BF113" t="s">
        <v>82</v>
      </c>
      <c r="BG113" t="s">
        <v>82</v>
      </c>
      <c r="BH113" t="s">
        <v>82</v>
      </c>
      <c r="BI113" t="s">
        <v>82</v>
      </c>
      <c r="BJ113" t="s">
        <v>82</v>
      </c>
      <c r="BK113" t="s">
        <v>82</v>
      </c>
      <c r="BL113" t="s">
        <v>90</v>
      </c>
      <c r="BM113" t="s">
        <v>1177</v>
      </c>
      <c r="BN113" t="s">
        <v>1178</v>
      </c>
    </row>
    <row r="114" spans="1:66" x14ac:dyDescent="0.35">
      <c r="A114">
        <v>197631</v>
      </c>
      <c r="B114" t="s">
        <v>896</v>
      </c>
      <c r="C114" t="s">
        <v>65</v>
      </c>
      <c r="D114" t="s">
        <v>66</v>
      </c>
      <c r="E114" t="s">
        <v>67</v>
      </c>
      <c r="F114" t="s">
        <v>123</v>
      </c>
      <c r="G114" t="s">
        <v>69</v>
      </c>
      <c r="H114" t="s">
        <v>70</v>
      </c>
      <c r="I114" t="s">
        <v>1179</v>
      </c>
      <c r="J114" t="s">
        <v>1180</v>
      </c>
      <c r="K114" t="s">
        <v>1181</v>
      </c>
      <c r="L114" t="s">
        <v>1181</v>
      </c>
      <c r="M114" t="s">
        <v>1182</v>
      </c>
      <c r="N114" t="s">
        <v>82</v>
      </c>
      <c r="O114" t="s">
        <v>77</v>
      </c>
      <c r="P114" s="2">
        <f t="shared" si="2"/>
        <v>0</v>
      </c>
      <c r="Q114" t="s">
        <v>78</v>
      </c>
      <c r="R114" s="2">
        <f t="shared" si="3"/>
        <v>0.28638888888888892</v>
      </c>
      <c r="S114" t="s">
        <v>1183</v>
      </c>
      <c r="T114">
        <v>0</v>
      </c>
      <c r="U114">
        <v>1</v>
      </c>
      <c r="V114" t="s">
        <v>80</v>
      </c>
      <c r="W114" t="s">
        <v>82</v>
      </c>
      <c r="X114" t="s">
        <v>81</v>
      </c>
      <c r="Y114" t="s">
        <v>82</v>
      </c>
      <c r="Z114" t="s">
        <v>82</v>
      </c>
      <c r="AA114" t="s">
        <v>83</v>
      </c>
      <c r="AB114" t="s">
        <v>84</v>
      </c>
      <c r="AC114" t="s">
        <v>82</v>
      </c>
      <c r="AD114" t="s">
        <v>85</v>
      </c>
      <c r="AE114" t="s">
        <v>82</v>
      </c>
      <c r="AF114" t="s">
        <v>82</v>
      </c>
      <c r="AG114" t="s">
        <v>87</v>
      </c>
      <c r="AH114" t="s">
        <v>82</v>
      </c>
      <c r="AI114" t="s">
        <v>129</v>
      </c>
      <c r="AJ114" t="s">
        <v>82</v>
      </c>
      <c r="AK114" t="s">
        <v>82</v>
      </c>
      <c r="AL114" t="s">
        <v>82</v>
      </c>
      <c r="AM114" t="s">
        <v>82</v>
      </c>
      <c r="AN114" t="s">
        <v>82</v>
      </c>
      <c r="AO114" t="s">
        <v>82</v>
      </c>
      <c r="AP114" t="s">
        <v>82</v>
      </c>
      <c r="AQ114" t="s">
        <v>82</v>
      </c>
      <c r="AR114" t="s">
        <v>82</v>
      </c>
      <c r="AS114" t="s">
        <v>130</v>
      </c>
      <c r="AT114" t="s">
        <v>129</v>
      </c>
      <c r="AU114" t="s">
        <v>82</v>
      </c>
      <c r="AV114" t="s">
        <v>90</v>
      </c>
      <c r="AW114" t="s">
        <v>90</v>
      </c>
      <c r="AX114" t="s">
        <v>82</v>
      </c>
      <c r="AY114" t="s">
        <v>82</v>
      </c>
      <c r="AZ114" t="s">
        <v>90</v>
      </c>
      <c r="BA114" t="s">
        <v>90</v>
      </c>
      <c r="BB114" t="s">
        <v>90</v>
      </c>
      <c r="BC114" t="s">
        <v>90</v>
      </c>
      <c r="BD114" t="s">
        <v>82</v>
      </c>
      <c r="BE114" t="s">
        <v>90</v>
      </c>
      <c r="BF114" t="s">
        <v>82</v>
      </c>
      <c r="BG114" t="s">
        <v>82</v>
      </c>
      <c r="BH114" t="s">
        <v>82</v>
      </c>
      <c r="BI114" t="s">
        <v>82</v>
      </c>
      <c r="BJ114" t="s">
        <v>82</v>
      </c>
      <c r="BK114" t="s">
        <v>82</v>
      </c>
      <c r="BL114" t="s">
        <v>90</v>
      </c>
      <c r="BM114" t="s">
        <v>139</v>
      </c>
      <c r="BN114" t="s">
        <v>1184</v>
      </c>
    </row>
    <row r="115" spans="1:66" x14ac:dyDescent="0.35">
      <c r="A115">
        <v>197639</v>
      </c>
      <c r="B115" t="s">
        <v>1185</v>
      </c>
      <c r="C115" t="s">
        <v>65</v>
      </c>
      <c r="D115" t="s">
        <v>66</v>
      </c>
      <c r="E115" t="s">
        <v>67</v>
      </c>
      <c r="F115" t="s">
        <v>123</v>
      </c>
      <c r="G115" t="s">
        <v>69</v>
      </c>
      <c r="H115" t="s">
        <v>70</v>
      </c>
      <c r="I115" t="s">
        <v>1186</v>
      </c>
      <c r="J115" t="s">
        <v>1187</v>
      </c>
      <c r="K115" t="s">
        <v>1186</v>
      </c>
      <c r="L115" t="s">
        <v>1186</v>
      </c>
      <c r="M115" t="s">
        <v>1182</v>
      </c>
      <c r="N115" t="s">
        <v>82</v>
      </c>
      <c r="O115" t="s">
        <v>77</v>
      </c>
      <c r="P115" s="2">
        <f t="shared" si="2"/>
        <v>0</v>
      </c>
      <c r="Q115" t="s">
        <v>78</v>
      </c>
      <c r="R115" s="2">
        <f t="shared" si="3"/>
        <v>0</v>
      </c>
      <c r="S115" t="s">
        <v>78</v>
      </c>
      <c r="T115">
        <v>0</v>
      </c>
      <c r="U115">
        <v>1</v>
      </c>
      <c r="V115" t="s">
        <v>80</v>
      </c>
      <c r="W115" t="s">
        <v>82</v>
      </c>
      <c r="X115" t="s">
        <v>81</v>
      </c>
      <c r="Y115" t="s">
        <v>82</v>
      </c>
      <c r="Z115" t="s">
        <v>82</v>
      </c>
      <c r="AA115" t="s">
        <v>83</v>
      </c>
      <c r="AB115" t="s">
        <v>84</v>
      </c>
      <c r="AC115" t="s">
        <v>82</v>
      </c>
      <c r="AD115" t="s">
        <v>85</v>
      </c>
      <c r="AE115" t="s">
        <v>82</v>
      </c>
      <c r="AF115" t="s">
        <v>82</v>
      </c>
      <c r="AG115" t="s">
        <v>82</v>
      </c>
      <c r="AH115" t="s">
        <v>82</v>
      </c>
      <c r="AI115" t="s">
        <v>82</v>
      </c>
      <c r="AJ115" t="s">
        <v>82</v>
      </c>
      <c r="AK115" t="s">
        <v>82</v>
      </c>
      <c r="AL115" t="s">
        <v>82</v>
      </c>
      <c r="AM115" t="s">
        <v>82</v>
      </c>
      <c r="AN115" t="s">
        <v>82</v>
      </c>
      <c r="AO115" t="s">
        <v>82</v>
      </c>
      <c r="AP115" t="s">
        <v>82</v>
      </c>
      <c r="AQ115" t="s">
        <v>82</v>
      </c>
      <c r="AR115" t="s">
        <v>82</v>
      </c>
      <c r="AS115" t="s">
        <v>82</v>
      </c>
      <c r="AT115" t="s">
        <v>82</v>
      </c>
      <c r="AU115" t="s">
        <v>82</v>
      </c>
      <c r="AV115" t="s">
        <v>90</v>
      </c>
      <c r="AW115" t="s">
        <v>90</v>
      </c>
      <c r="AX115" t="s">
        <v>82</v>
      </c>
      <c r="AY115" t="s">
        <v>82</v>
      </c>
      <c r="AZ115" t="s">
        <v>90</v>
      </c>
      <c r="BA115" t="s">
        <v>90</v>
      </c>
      <c r="BB115" t="s">
        <v>90</v>
      </c>
      <c r="BC115" t="s">
        <v>90</v>
      </c>
      <c r="BD115" t="s">
        <v>82</v>
      </c>
      <c r="BE115" t="s">
        <v>90</v>
      </c>
      <c r="BF115" t="s">
        <v>82</v>
      </c>
      <c r="BG115" t="s">
        <v>82</v>
      </c>
      <c r="BH115" t="s">
        <v>82</v>
      </c>
      <c r="BI115" t="s">
        <v>82</v>
      </c>
      <c r="BJ115" t="s">
        <v>82</v>
      </c>
      <c r="BK115" t="s">
        <v>82</v>
      </c>
      <c r="BL115" t="s">
        <v>90</v>
      </c>
      <c r="BM115" t="s">
        <v>770</v>
      </c>
      <c r="BN115" t="s">
        <v>771</v>
      </c>
    </row>
    <row r="116" spans="1:66" x14ac:dyDescent="0.35">
      <c r="A116">
        <v>197643</v>
      </c>
      <c r="B116" t="s">
        <v>1188</v>
      </c>
      <c r="C116" t="s">
        <v>65</v>
      </c>
      <c r="D116" t="s">
        <v>66</v>
      </c>
      <c r="E116" t="s">
        <v>67</v>
      </c>
      <c r="F116" t="s">
        <v>123</v>
      </c>
      <c r="G116" t="s">
        <v>69</v>
      </c>
      <c r="H116" t="s">
        <v>70</v>
      </c>
      <c r="I116" t="s">
        <v>1189</v>
      </c>
      <c r="J116" t="s">
        <v>1190</v>
      </c>
      <c r="K116" t="s">
        <v>1189</v>
      </c>
      <c r="L116" t="s">
        <v>1189</v>
      </c>
      <c r="M116" t="s">
        <v>1191</v>
      </c>
      <c r="N116" t="s">
        <v>82</v>
      </c>
      <c r="O116" t="s">
        <v>77</v>
      </c>
      <c r="P116" s="2">
        <f t="shared" si="2"/>
        <v>0</v>
      </c>
      <c r="Q116" t="s">
        <v>78</v>
      </c>
      <c r="R116" s="2">
        <f t="shared" si="3"/>
        <v>0</v>
      </c>
      <c r="S116" t="s">
        <v>78</v>
      </c>
      <c r="T116">
        <v>0</v>
      </c>
      <c r="U116">
        <v>1</v>
      </c>
      <c r="V116" t="s">
        <v>80</v>
      </c>
      <c r="W116" t="s">
        <v>82</v>
      </c>
      <c r="X116" t="s">
        <v>81</v>
      </c>
      <c r="Y116" t="s">
        <v>82</v>
      </c>
      <c r="Z116" t="s">
        <v>82</v>
      </c>
      <c r="AA116" t="s">
        <v>83</v>
      </c>
      <c r="AB116" t="s">
        <v>84</v>
      </c>
      <c r="AC116" t="s">
        <v>82</v>
      </c>
      <c r="AD116" t="s">
        <v>85</v>
      </c>
      <c r="AE116" t="s">
        <v>82</v>
      </c>
      <c r="AF116" t="s">
        <v>82</v>
      </c>
      <c r="AG116" t="s">
        <v>82</v>
      </c>
      <c r="AH116" t="s">
        <v>82</v>
      </c>
      <c r="AI116" t="s">
        <v>82</v>
      </c>
      <c r="AJ116" t="s">
        <v>82</v>
      </c>
      <c r="AK116" t="s">
        <v>82</v>
      </c>
      <c r="AL116" t="s">
        <v>82</v>
      </c>
      <c r="AM116" t="s">
        <v>82</v>
      </c>
      <c r="AN116" t="s">
        <v>82</v>
      </c>
      <c r="AO116" t="s">
        <v>82</v>
      </c>
      <c r="AP116" t="s">
        <v>82</v>
      </c>
      <c r="AQ116" t="s">
        <v>82</v>
      </c>
      <c r="AR116" t="s">
        <v>82</v>
      </c>
      <c r="AS116" t="s">
        <v>82</v>
      </c>
      <c r="AT116" t="s">
        <v>82</v>
      </c>
      <c r="AU116" t="s">
        <v>82</v>
      </c>
      <c r="AV116" t="s">
        <v>90</v>
      </c>
      <c r="AW116" t="s">
        <v>90</v>
      </c>
      <c r="AX116" t="s">
        <v>82</v>
      </c>
      <c r="AY116" t="s">
        <v>82</v>
      </c>
      <c r="AZ116" t="s">
        <v>90</v>
      </c>
      <c r="BA116" t="s">
        <v>90</v>
      </c>
      <c r="BB116" t="s">
        <v>90</v>
      </c>
      <c r="BC116" t="s">
        <v>90</v>
      </c>
      <c r="BD116" t="s">
        <v>82</v>
      </c>
      <c r="BE116" t="s">
        <v>90</v>
      </c>
      <c r="BF116" t="s">
        <v>82</v>
      </c>
      <c r="BG116" t="s">
        <v>82</v>
      </c>
      <c r="BH116" t="s">
        <v>82</v>
      </c>
      <c r="BI116" t="s">
        <v>82</v>
      </c>
      <c r="BJ116" t="s">
        <v>82</v>
      </c>
      <c r="BK116" t="s">
        <v>82</v>
      </c>
      <c r="BL116" t="s">
        <v>90</v>
      </c>
      <c r="BM116" t="s">
        <v>770</v>
      </c>
      <c r="BN116" t="s">
        <v>771</v>
      </c>
    </row>
    <row r="117" spans="1:66" x14ac:dyDescent="0.35">
      <c r="A117">
        <v>197679</v>
      </c>
      <c r="B117" t="s">
        <v>896</v>
      </c>
      <c r="C117" t="s">
        <v>65</v>
      </c>
      <c r="D117" t="s">
        <v>66</v>
      </c>
      <c r="E117" t="s">
        <v>67</v>
      </c>
      <c r="F117" t="s">
        <v>123</v>
      </c>
      <c r="G117" t="s">
        <v>69</v>
      </c>
      <c r="H117" t="s">
        <v>70</v>
      </c>
      <c r="I117" t="s">
        <v>1192</v>
      </c>
      <c r="J117" t="s">
        <v>1193</v>
      </c>
      <c r="K117" t="s">
        <v>1194</v>
      </c>
      <c r="L117" t="s">
        <v>1194</v>
      </c>
      <c r="M117" t="s">
        <v>1195</v>
      </c>
      <c r="N117" t="s">
        <v>82</v>
      </c>
      <c r="O117" t="s">
        <v>77</v>
      </c>
      <c r="P117" s="2">
        <f t="shared" si="2"/>
        <v>0</v>
      </c>
      <c r="Q117" t="s">
        <v>78</v>
      </c>
      <c r="R117" s="2">
        <f t="shared" si="3"/>
        <v>0.35138888888888886</v>
      </c>
      <c r="S117" t="s">
        <v>1196</v>
      </c>
      <c r="T117">
        <v>0</v>
      </c>
      <c r="U117">
        <v>1</v>
      </c>
      <c r="V117" t="s">
        <v>80</v>
      </c>
      <c r="W117" t="s">
        <v>82</v>
      </c>
      <c r="X117" t="s">
        <v>81</v>
      </c>
      <c r="Y117" t="s">
        <v>82</v>
      </c>
      <c r="Z117" t="s">
        <v>82</v>
      </c>
      <c r="AA117" t="s">
        <v>83</v>
      </c>
      <c r="AB117" t="s">
        <v>84</v>
      </c>
      <c r="AC117" t="s">
        <v>82</v>
      </c>
      <c r="AD117" t="s">
        <v>85</v>
      </c>
      <c r="AE117" t="s">
        <v>82</v>
      </c>
      <c r="AF117" t="s">
        <v>82</v>
      </c>
      <c r="AG117" t="s">
        <v>87</v>
      </c>
      <c r="AH117" t="s">
        <v>82</v>
      </c>
      <c r="AI117" t="s">
        <v>129</v>
      </c>
      <c r="AJ117" t="s">
        <v>82</v>
      </c>
      <c r="AK117" t="s">
        <v>82</v>
      </c>
      <c r="AL117" t="s">
        <v>82</v>
      </c>
      <c r="AM117" t="s">
        <v>82</v>
      </c>
      <c r="AN117" t="s">
        <v>82</v>
      </c>
      <c r="AO117" t="s">
        <v>82</v>
      </c>
      <c r="AP117" t="s">
        <v>82</v>
      </c>
      <c r="AQ117" t="s">
        <v>82</v>
      </c>
      <c r="AR117" t="s">
        <v>82</v>
      </c>
      <c r="AS117" t="s">
        <v>130</v>
      </c>
      <c r="AT117" t="s">
        <v>129</v>
      </c>
      <c r="AU117" t="s">
        <v>82</v>
      </c>
      <c r="AV117" t="s">
        <v>90</v>
      </c>
      <c r="AW117" t="s">
        <v>90</v>
      </c>
      <c r="AX117" t="s">
        <v>82</v>
      </c>
      <c r="AY117" t="s">
        <v>82</v>
      </c>
      <c r="AZ117" t="s">
        <v>90</v>
      </c>
      <c r="BA117" t="s">
        <v>90</v>
      </c>
      <c r="BB117" t="s">
        <v>90</v>
      </c>
      <c r="BC117" t="s">
        <v>90</v>
      </c>
      <c r="BD117" t="s">
        <v>82</v>
      </c>
      <c r="BE117" t="s">
        <v>90</v>
      </c>
      <c r="BF117" t="s">
        <v>82</v>
      </c>
      <c r="BG117" t="s">
        <v>82</v>
      </c>
      <c r="BH117" t="s">
        <v>82</v>
      </c>
      <c r="BI117" t="s">
        <v>82</v>
      </c>
      <c r="BJ117" t="s">
        <v>82</v>
      </c>
      <c r="BK117" t="s">
        <v>82</v>
      </c>
      <c r="BL117" t="s">
        <v>90</v>
      </c>
      <c r="BM117" t="s">
        <v>139</v>
      </c>
      <c r="BN117" t="s">
        <v>1197</v>
      </c>
    </row>
    <row r="118" spans="1:66" x14ac:dyDescent="0.35">
      <c r="A118">
        <v>197710</v>
      </c>
      <c r="B118" t="s">
        <v>896</v>
      </c>
      <c r="C118" t="s">
        <v>65</v>
      </c>
      <c r="D118" t="s">
        <v>66</v>
      </c>
      <c r="E118" t="s">
        <v>67</v>
      </c>
      <c r="F118" t="s">
        <v>123</v>
      </c>
      <c r="G118" t="s">
        <v>69</v>
      </c>
      <c r="H118" t="s">
        <v>70</v>
      </c>
      <c r="I118" t="s">
        <v>1198</v>
      </c>
      <c r="J118" t="s">
        <v>1199</v>
      </c>
      <c r="K118" t="s">
        <v>1200</v>
      </c>
      <c r="L118" t="s">
        <v>1200</v>
      </c>
      <c r="M118" t="s">
        <v>1201</v>
      </c>
      <c r="N118" t="s">
        <v>82</v>
      </c>
      <c r="O118" t="s">
        <v>77</v>
      </c>
      <c r="P118" s="2">
        <f t="shared" si="2"/>
        <v>0</v>
      </c>
      <c r="Q118" t="s">
        <v>78</v>
      </c>
      <c r="R118" s="2">
        <f t="shared" si="3"/>
        <v>1.0777777777777777</v>
      </c>
      <c r="S118" t="s">
        <v>1202</v>
      </c>
      <c r="T118">
        <v>0</v>
      </c>
      <c r="U118">
        <v>1</v>
      </c>
      <c r="V118" t="s">
        <v>80</v>
      </c>
      <c r="W118" t="s">
        <v>82</v>
      </c>
      <c r="X118" t="s">
        <v>81</v>
      </c>
      <c r="Y118" t="s">
        <v>82</v>
      </c>
      <c r="Z118" t="s">
        <v>82</v>
      </c>
      <c r="AA118" t="s">
        <v>83</v>
      </c>
      <c r="AB118" t="s">
        <v>84</v>
      </c>
      <c r="AC118" t="s">
        <v>82</v>
      </c>
      <c r="AD118" t="s">
        <v>85</v>
      </c>
      <c r="AE118" t="s">
        <v>82</v>
      </c>
      <c r="AF118" t="s">
        <v>82</v>
      </c>
      <c r="AG118" t="s">
        <v>87</v>
      </c>
      <c r="AH118" t="s">
        <v>82</v>
      </c>
      <c r="AI118" t="s">
        <v>129</v>
      </c>
      <c r="AJ118" t="s">
        <v>82</v>
      </c>
      <c r="AK118" t="s">
        <v>82</v>
      </c>
      <c r="AL118" t="s">
        <v>82</v>
      </c>
      <c r="AM118" t="s">
        <v>82</v>
      </c>
      <c r="AN118" t="s">
        <v>82</v>
      </c>
      <c r="AO118" t="s">
        <v>82</v>
      </c>
      <c r="AP118" t="s">
        <v>82</v>
      </c>
      <c r="AQ118" t="s">
        <v>82</v>
      </c>
      <c r="AR118" t="s">
        <v>82</v>
      </c>
      <c r="AS118" t="s">
        <v>130</v>
      </c>
      <c r="AT118" t="s">
        <v>129</v>
      </c>
      <c r="AU118" t="s">
        <v>82</v>
      </c>
      <c r="AV118" t="s">
        <v>90</v>
      </c>
      <c r="AW118" t="s">
        <v>90</v>
      </c>
      <c r="AX118" t="s">
        <v>82</v>
      </c>
      <c r="AY118" t="s">
        <v>82</v>
      </c>
      <c r="AZ118" t="s">
        <v>90</v>
      </c>
      <c r="BA118" t="s">
        <v>90</v>
      </c>
      <c r="BB118" t="s">
        <v>90</v>
      </c>
      <c r="BC118" t="s">
        <v>90</v>
      </c>
      <c r="BD118" t="s">
        <v>82</v>
      </c>
      <c r="BE118" t="s">
        <v>90</v>
      </c>
      <c r="BF118" t="s">
        <v>82</v>
      </c>
      <c r="BG118" t="s">
        <v>82</v>
      </c>
      <c r="BH118" t="s">
        <v>82</v>
      </c>
      <c r="BI118" t="s">
        <v>82</v>
      </c>
      <c r="BJ118" t="s">
        <v>82</v>
      </c>
      <c r="BK118" t="s">
        <v>82</v>
      </c>
      <c r="BL118" t="s">
        <v>90</v>
      </c>
      <c r="BM118" t="s">
        <v>139</v>
      </c>
      <c r="BN118" t="s">
        <v>1203</v>
      </c>
    </row>
    <row r="119" spans="1:66" x14ac:dyDescent="0.35">
      <c r="A119">
        <v>198883</v>
      </c>
      <c r="B119" t="s">
        <v>1204</v>
      </c>
      <c r="C119" t="s">
        <v>65</v>
      </c>
      <c r="D119" t="s">
        <v>66</v>
      </c>
      <c r="E119" t="s">
        <v>67</v>
      </c>
      <c r="F119" t="s">
        <v>158</v>
      </c>
      <c r="G119" t="s">
        <v>69</v>
      </c>
      <c r="H119" t="s">
        <v>70</v>
      </c>
      <c r="I119" t="s">
        <v>1205</v>
      </c>
      <c r="J119" t="s">
        <v>1206</v>
      </c>
      <c r="K119" t="s">
        <v>1207</v>
      </c>
      <c r="L119" t="s">
        <v>1207</v>
      </c>
      <c r="M119" t="s">
        <v>1208</v>
      </c>
      <c r="N119" t="s">
        <v>82</v>
      </c>
      <c r="O119" t="s">
        <v>77</v>
      </c>
      <c r="P119" s="2">
        <f t="shared" si="2"/>
        <v>0</v>
      </c>
      <c r="Q119" t="s">
        <v>78</v>
      </c>
      <c r="R119" s="2">
        <f t="shared" si="3"/>
        <v>2.8833333333333333</v>
      </c>
      <c r="S119" t="s">
        <v>1209</v>
      </c>
      <c r="T119">
        <v>0</v>
      </c>
      <c r="U119">
        <v>2</v>
      </c>
      <c r="V119" t="s">
        <v>80</v>
      </c>
      <c r="W119" t="s">
        <v>82</v>
      </c>
      <c r="X119" t="s">
        <v>81</v>
      </c>
      <c r="Y119" t="s">
        <v>82</v>
      </c>
      <c r="Z119" t="s">
        <v>82</v>
      </c>
      <c r="AA119" t="s">
        <v>83</v>
      </c>
      <c r="AB119" t="s">
        <v>84</v>
      </c>
      <c r="AC119" t="s">
        <v>82</v>
      </c>
      <c r="AD119" t="s">
        <v>85</v>
      </c>
      <c r="AE119" t="s">
        <v>1210</v>
      </c>
      <c r="AF119" t="s">
        <v>82</v>
      </c>
      <c r="AG119" t="s">
        <v>87</v>
      </c>
      <c r="AH119" t="s">
        <v>1211</v>
      </c>
      <c r="AI119" t="s">
        <v>1212</v>
      </c>
      <c r="AJ119" t="s">
        <v>82</v>
      </c>
      <c r="AK119" t="s">
        <v>82</v>
      </c>
      <c r="AL119" t="s">
        <v>82</v>
      </c>
      <c r="AM119" t="s">
        <v>82</v>
      </c>
      <c r="AN119" t="s">
        <v>169</v>
      </c>
      <c r="AO119" t="s">
        <v>82</v>
      </c>
      <c r="AP119" t="s">
        <v>82</v>
      </c>
      <c r="AQ119" t="s">
        <v>82</v>
      </c>
      <c r="AR119" t="s">
        <v>82</v>
      </c>
      <c r="AS119" t="s">
        <v>88</v>
      </c>
      <c r="AT119" t="s">
        <v>1213</v>
      </c>
      <c r="AU119" t="s">
        <v>106</v>
      </c>
      <c r="AV119" t="s">
        <v>90</v>
      </c>
      <c r="AW119" t="s">
        <v>90</v>
      </c>
      <c r="AX119" t="s">
        <v>82</v>
      </c>
      <c r="AY119" t="s">
        <v>82</v>
      </c>
      <c r="AZ119" t="s">
        <v>90</v>
      </c>
      <c r="BA119" t="s">
        <v>90</v>
      </c>
      <c r="BB119" t="s">
        <v>90</v>
      </c>
      <c r="BC119" t="s">
        <v>90</v>
      </c>
      <c r="BD119" t="s">
        <v>82</v>
      </c>
      <c r="BE119" t="s">
        <v>91</v>
      </c>
      <c r="BF119" t="s">
        <v>82</v>
      </c>
      <c r="BG119" t="s">
        <v>82</v>
      </c>
      <c r="BH119" t="s">
        <v>82</v>
      </c>
      <c r="BI119" t="s">
        <v>82</v>
      </c>
      <c r="BJ119" t="s">
        <v>82</v>
      </c>
      <c r="BK119" t="s">
        <v>82</v>
      </c>
      <c r="BL119" t="s">
        <v>90</v>
      </c>
      <c r="BM119" t="s">
        <v>131</v>
      </c>
      <c r="BN119" t="s">
        <v>132</v>
      </c>
    </row>
    <row r="120" spans="1:66" x14ac:dyDescent="0.35">
      <c r="A120">
        <v>199184</v>
      </c>
      <c r="B120" t="s">
        <v>896</v>
      </c>
      <c r="C120" t="s">
        <v>65</v>
      </c>
      <c r="D120" t="s">
        <v>66</v>
      </c>
      <c r="E120" t="s">
        <v>67</v>
      </c>
      <c r="F120" t="s">
        <v>123</v>
      </c>
      <c r="G120" t="s">
        <v>69</v>
      </c>
      <c r="H120" t="s">
        <v>70</v>
      </c>
      <c r="I120" t="s">
        <v>1214</v>
      </c>
      <c r="J120" t="s">
        <v>1215</v>
      </c>
      <c r="K120" t="s">
        <v>1216</v>
      </c>
      <c r="L120" t="s">
        <v>1216</v>
      </c>
      <c r="M120" t="s">
        <v>1217</v>
      </c>
      <c r="N120" t="s">
        <v>82</v>
      </c>
      <c r="O120" t="s">
        <v>77</v>
      </c>
      <c r="P120" s="2">
        <f t="shared" si="2"/>
        <v>0</v>
      </c>
      <c r="Q120" t="s">
        <v>78</v>
      </c>
      <c r="R120" s="2">
        <f t="shared" si="3"/>
        <v>0.18888888888888891</v>
      </c>
      <c r="S120" t="s">
        <v>1218</v>
      </c>
      <c r="T120">
        <v>0</v>
      </c>
      <c r="U120">
        <v>1</v>
      </c>
      <c r="V120" t="s">
        <v>80</v>
      </c>
      <c r="W120" t="s">
        <v>82</v>
      </c>
      <c r="X120" t="s">
        <v>81</v>
      </c>
      <c r="Y120" t="s">
        <v>82</v>
      </c>
      <c r="Z120" t="s">
        <v>82</v>
      </c>
      <c r="AA120" t="s">
        <v>83</v>
      </c>
      <c r="AB120" t="s">
        <v>84</v>
      </c>
      <c r="AC120" t="s">
        <v>82</v>
      </c>
      <c r="AD120" t="s">
        <v>85</v>
      </c>
      <c r="AE120" t="s">
        <v>82</v>
      </c>
      <c r="AF120" t="s">
        <v>82</v>
      </c>
      <c r="AG120" t="s">
        <v>87</v>
      </c>
      <c r="AH120" t="s">
        <v>82</v>
      </c>
      <c r="AI120" t="s">
        <v>129</v>
      </c>
      <c r="AJ120" t="s">
        <v>82</v>
      </c>
      <c r="AK120" t="s">
        <v>82</v>
      </c>
      <c r="AL120" t="s">
        <v>82</v>
      </c>
      <c r="AM120" t="s">
        <v>82</v>
      </c>
      <c r="AN120" t="s">
        <v>82</v>
      </c>
      <c r="AO120" t="s">
        <v>82</v>
      </c>
      <c r="AP120" t="s">
        <v>82</v>
      </c>
      <c r="AQ120" t="s">
        <v>82</v>
      </c>
      <c r="AR120" t="s">
        <v>82</v>
      </c>
      <c r="AS120" t="s">
        <v>130</v>
      </c>
      <c r="AT120" t="s">
        <v>129</v>
      </c>
      <c r="AU120" t="s">
        <v>82</v>
      </c>
      <c r="AV120" t="s">
        <v>90</v>
      </c>
      <c r="AW120" t="s">
        <v>90</v>
      </c>
      <c r="AX120" t="s">
        <v>82</v>
      </c>
      <c r="AY120" t="s">
        <v>82</v>
      </c>
      <c r="AZ120" t="s">
        <v>90</v>
      </c>
      <c r="BA120" t="s">
        <v>90</v>
      </c>
      <c r="BB120" t="s">
        <v>90</v>
      </c>
      <c r="BC120" t="s">
        <v>90</v>
      </c>
      <c r="BD120" t="s">
        <v>82</v>
      </c>
      <c r="BE120" t="s">
        <v>90</v>
      </c>
      <c r="BF120" t="s">
        <v>82</v>
      </c>
      <c r="BG120" t="s">
        <v>82</v>
      </c>
      <c r="BH120" t="s">
        <v>82</v>
      </c>
      <c r="BI120" t="s">
        <v>82</v>
      </c>
      <c r="BJ120" t="s">
        <v>82</v>
      </c>
      <c r="BK120" t="s">
        <v>82</v>
      </c>
      <c r="BL120" t="s">
        <v>90</v>
      </c>
      <c r="BM120" t="s">
        <v>139</v>
      </c>
      <c r="BN120" t="s">
        <v>1219</v>
      </c>
    </row>
    <row r="121" spans="1:66" x14ac:dyDescent="0.35">
      <c r="A121">
        <v>199427</v>
      </c>
      <c r="B121" t="s">
        <v>1220</v>
      </c>
      <c r="C121" t="s">
        <v>65</v>
      </c>
      <c r="D121" t="s">
        <v>66</v>
      </c>
      <c r="E121" t="s">
        <v>67</v>
      </c>
      <c r="F121" t="s">
        <v>123</v>
      </c>
      <c r="G121" t="s">
        <v>69</v>
      </c>
      <c r="H121" t="s">
        <v>70</v>
      </c>
      <c r="I121" t="s">
        <v>1221</v>
      </c>
      <c r="J121" t="s">
        <v>1222</v>
      </c>
      <c r="K121" t="s">
        <v>1223</v>
      </c>
      <c r="L121" t="s">
        <v>1223</v>
      </c>
      <c r="M121" t="s">
        <v>1224</v>
      </c>
      <c r="N121" t="s">
        <v>82</v>
      </c>
      <c r="O121" t="s">
        <v>77</v>
      </c>
      <c r="P121" s="2">
        <f t="shared" si="2"/>
        <v>0</v>
      </c>
      <c r="Q121" t="s">
        <v>78</v>
      </c>
      <c r="R121" s="2">
        <f t="shared" si="3"/>
        <v>2.7777777777777778E-4</v>
      </c>
      <c r="S121" t="s">
        <v>1052</v>
      </c>
      <c r="T121">
        <v>0</v>
      </c>
      <c r="U121">
        <v>1</v>
      </c>
      <c r="V121" t="s">
        <v>80</v>
      </c>
      <c r="W121" t="s">
        <v>82</v>
      </c>
      <c r="X121" t="s">
        <v>81</v>
      </c>
      <c r="Y121" t="s">
        <v>82</v>
      </c>
      <c r="Z121" t="s">
        <v>82</v>
      </c>
      <c r="AA121" t="s">
        <v>83</v>
      </c>
      <c r="AB121" t="s">
        <v>84</v>
      </c>
      <c r="AC121" t="s">
        <v>82</v>
      </c>
      <c r="AD121" t="s">
        <v>85</v>
      </c>
      <c r="AE121" t="s">
        <v>82</v>
      </c>
      <c r="AF121" t="s">
        <v>82</v>
      </c>
      <c r="AG121" t="s">
        <v>82</v>
      </c>
      <c r="AH121" t="s">
        <v>82</v>
      </c>
      <c r="AI121" t="s">
        <v>82</v>
      </c>
      <c r="AJ121" t="s">
        <v>82</v>
      </c>
      <c r="AK121" t="s">
        <v>82</v>
      </c>
      <c r="AL121" t="s">
        <v>82</v>
      </c>
      <c r="AM121" t="s">
        <v>82</v>
      </c>
      <c r="AN121" t="s">
        <v>82</v>
      </c>
      <c r="AO121" t="s">
        <v>82</v>
      </c>
      <c r="AP121" t="s">
        <v>82</v>
      </c>
      <c r="AQ121" t="s">
        <v>82</v>
      </c>
      <c r="AR121" t="s">
        <v>82</v>
      </c>
      <c r="AS121" t="s">
        <v>82</v>
      </c>
      <c r="AT121" t="s">
        <v>82</v>
      </c>
      <c r="AU121" t="s">
        <v>82</v>
      </c>
      <c r="AV121" t="s">
        <v>90</v>
      </c>
      <c r="AW121" t="s">
        <v>90</v>
      </c>
      <c r="AX121" t="s">
        <v>82</v>
      </c>
      <c r="AY121" t="s">
        <v>82</v>
      </c>
      <c r="AZ121" t="s">
        <v>90</v>
      </c>
      <c r="BA121" t="s">
        <v>90</v>
      </c>
      <c r="BB121" t="s">
        <v>90</v>
      </c>
      <c r="BC121" t="s">
        <v>90</v>
      </c>
      <c r="BD121" t="s">
        <v>82</v>
      </c>
      <c r="BE121" t="s">
        <v>90</v>
      </c>
      <c r="BF121" t="s">
        <v>82</v>
      </c>
      <c r="BG121" t="s">
        <v>82</v>
      </c>
      <c r="BH121" t="s">
        <v>82</v>
      </c>
      <c r="BI121" t="s">
        <v>82</v>
      </c>
      <c r="BJ121" t="s">
        <v>82</v>
      </c>
      <c r="BK121" t="s">
        <v>82</v>
      </c>
      <c r="BL121" t="s">
        <v>90</v>
      </c>
      <c r="BM121" t="s">
        <v>770</v>
      </c>
      <c r="BN121" t="s">
        <v>771</v>
      </c>
    </row>
    <row r="122" spans="1:66" x14ac:dyDescent="0.35">
      <c r="A122">
        <v>200333</v>
      </c>
      <c r="B122" t="s">
        <v>1225</v>
      </c>
      <c r="C122" t="s">
        <v>65</v>
      </c>
      <c r="D122" t="s">
        <v>66</v>
      </c>
      <c r="E122" t="s">
        <v>67</v>
      </c>
      <c r="F122" t="s">
        <v>158</v>
      </c>
      <c r="G122" t="s">
        <v>69</v>
      </c>
      <c r="H122" t="s">
        <v>70</v>
      </c>
      <c r="I122" t="s">
        <v>1226</v>
      </c>
      <c r="J122" t="s">
        <v>1227</v>
      </c>
      <c r="K122" t="s">
        <v>1228</v>
      </c>
      <c r="L122" t="s">
        <v>1229</v>
      </c>
      <c r="M122" t="s">
        <v>1230</v>
      </c>
      <c r="N122" t="s">
        <v>1231</v>
      </c>
      <c r="O122" t="s">
        <v>77</v>
      </c>
      <c r="P122" s="2">
        <f t="shared" si="2"/>
        <v>59.716666666666669</v>
      </c>
      <c r="Q122" t="s">
        <v>1232</v>
      </c>
      <c r="R122" s="2">
        <f t="shared" si="3"/>
        <v>60</v>
      </c>
      <c r="S122" t="s">
        <v>1233</v>
      </c>
      <c r="T122">
        <v>8</v>
      </c>
      <c r="U122">
        <v>12</v>
      </c>
      <c r="V122" t="s">
        <v>80</v>
      </c>
      <c r="W122" t="s">
        <v>80</v>
      </c>
      <c r="X122" t="s">
        <v>1234</v>
      </c>
      <c r="Y122" t="s">
        <v>82</v>
      </c>
      <c r="Z122" t="s">
        <v>82</v>
      </c>
      <c r="AA122" t="s">
        <v>83</v>
      </c>
      <c r="AB122" t="s">
        <v>84</v>
      </c>
      <c r="AC122" t="s">
        <v>82</v>
      </c>
      <c r="AD122" t="s">
        <v>85</v>
      </c>
      <c r="AE122" t="s">
        <v>82</v>
      </c>
      <c r="AF122" t="s">
        <v>82</v>
      </c>
      <c r="AG122" t="s">
        <v>87</v>
      </c>
      <c r="AH122" t="s">
        <v>1235</v>
      </c>
      <c r="AI122" t="s">
        <v>1236</v>
      </c>
      <c r="AJ122" t="s">
        <v>82</v>
      </c>
      <c r="AK122" t="s">
        <v>82</v>
      </c>
      <c r="AL122" t="s">
        <v>82</v>
      </c>
      <c r="AM122" t="s">
        <v>82</v>
      </c>
      <c r="AN122" t="s">
        <v>169</v>
      </c>
      <c r="AO122" t="s">
        <v>82</v>
      </c>
      <c r="AP122" t="s">
        <v>82</v>
      </c>
      <c r="AQ122" t="s">
        <v>82</v>
      </c>
      <c r="AR122" t="s">
        <v>82</v>
      </c>
      <c r="AS122" t="s">
        <v>88</v>
      </c>
      <c r="AT122" t="s">
        <v>1236</v>
      </c>
      <c r="AU122" t="s">
        <v>106</v>
      </c>
      <c r="AV122" t="s">
        <v>90</v>
      </c>
      <c r="AW122" t="s">
        <v>90</v>
      </c>
      <c r="AX122" t="s">
        <v>82</v>
      </c>
      <c r="AY122" t="s">
        <v>82</v>
      </c>
      <c r="AZ122" t="s">
        <v>90</v>
      </c>
      <c r="BA122" t="s">
        <v>90</v>
      </c>
      <c r="BB122" t="s">
        <v>90</v>
      </c>
      <c r="BC122" t="s">
        <v>90</v>
      </c>
      <c r="BD122" t="s">
        <v>82</v>
      </c>
      <c r="BE122" t="s">
        <v>90</v>
      </c>
      <c r="BF122" t="s">
        <v>82</v>
      </c>
      <c r="BG122" t="s">
        <v>82</v>
      </c>
      <c r="BH122" t="s">
        <v>82</v>
      </c>
      <c r="BI122" t="s">
        <v>82</v>
      </c>
      <c r="BJ122" t="s">
        <v>82</v>
      </c>
      <c r="BK122" t="s">
        <v>82</v>
      </c>
      <c r="BL122" t="s">
        <v>90</v>
      </c>
      <c r="BM122" t="s">
        <v>1237</v>
      </c>
      <c r="BN122" t="s">
        <v>1238</v>
      </c>
    </row>
    <row r="123" spans="1:66" x14ac:dyDescent="0.35">
      <c r="A123">
        <v>200346</v>
      </c>
      <c r="B123" t="s">
        <v>1239</v>
      </c>
      <c r="C123" t="s">
        <v>65</v>
      </c>
      <c r="D123" t="s">
        <v>66</v>
      </c>
      <c r="E123" t="s">
        <v>95</v>
      </c>
      <c r="F123" t="s">
        <v>187</v>
      </c>
      <c r="G123" t="s">
        <v>69</v>
      </c>
      <c r="H123" t="s">
        <v>70</v>
      </c>
      <c r="I123" t="s">
        <v>1240</v>
      </c>
      <c r="J123" t="s">
        <v>1241</v>
      </c>
      <c r="K123" t="s">
        <v>1242</v>
      </c>
      <c r="L123" t="s">
        <v>1242</v>
      </c>
      <c r="M123" t="s">
        <v>1243</v>
      </c>
      <c r="N123" t="s">
        <v>1244</v>
      </c>
      <c r="O123" t="s">
        <v>77</v>
      </c>
      <c r="P123" s="2">
        <f t="shared" si="2"/>
        <v>14.500000000000002</v>
      </c>
      <c r="Q123" t="s">
        <v>1245</v>
      </c>
      <c r="R123" s="2">
        <f t="shared" si="3"/>
        <v>0.38888888888888884</v>
      </c>
      <c r="S123" t="s">
        <v>1246</v>
      </c>
      <c r="T123">
        <v>2</v>
      </c>
      <c r="U123">
        <v>1</v>
      </c>
      <c r="V123" t="s">
        <v>80</v>
      </c>
      <c r="W123" t="s">
        <v>80</v>
      </c>
      <c r="X123" t="s">
        <v>81</v>
      </c>
      <c r="Y123" t="s">
        <v>82</v>
      </c>
      <c r="Z123" t="s">
        <v>82</v>
      </c>
      <c r="AA123" t="s">
        <v>83</v>
      </c>
      <c r="AB123" t="s">
        <v>84</v>
      </c>
      <c r="AC123" t="s">
        <v>82</v>
      </c>
      <c r="AD123" t="s">
        <v>85</v>
      </c>
      <c r="AE123" t="s">
        <v>1247</v>
      </c>
      <c r="AF123" t="s">
        <v>1072</v>
      </c>
      <c r="AG123" t="s">
        <v>87</v>
      </c>
      <c r="AH123" t="s">
        <v>1248</v>
      </c>
      <c r="AI123" t="s">
        <v>1248</v>
      </c>
      <c r="AJ123" t="s">
        <v>82</v>
      </c>
      <c r="AK123" t="s">
        <v>82</v>
      </c>
      <c r="AL123" t="s">
        <v>82</v>
      </c>
      <c r="AM123" t="s">
        <v>82</v>
      </c>
      <c r="AN123" t="s">
        <v>82</v>
      </c>
      <c r="AO123" t="s">
        <v>82</v>
      </c>
      <c r="AP123" t="s">
        <v>82</v>
      </c>
      <c r="AQ123" t="s">
        <v>82</v>
      </c>
      <c r="AR123" t="s">
        <v>698</v>
      </c>
      <c r="AS123" t="s">
        <v>88</v>
      </c>
      <c r="AT123" t="s">
        <v>1248</v>
      </c>
      <c r="AU123" t="s">
        <v>6</v>
      </c>
      <c r="AV123" t="s">
        <v>90</v>
      </c>
      <c r="AW123" t="s">
        <v>90</v>
      </c>
      <c r="AX123" t="s">
        <v>82</v>
      </c>
      <c r="AY123" t="s">
        <v>82</v>
      </c>
      <c r="AZ123" t="s">
        <v>90</v>
      </c>
      <c r="BA123" t="s">
        <v>90</v>
      </c>
      <c r="BB123" t="s">
        <v>90</v>
      </c>
      <c r="BC123" t="s">
        <v>90</v>
      </c>
      <c r="BD123" t="s">
        <v>82</v>
      </c>
      <c r="BE123" t="s">
        <v>90</v>
      </c>
      <c r="BF123" t="s">
        <v>82</v>
      </c>
      <c r="BG123" t="s">
        <v>82</v>
      </c>
      <c r="BH123" t="s">
        <v>82</v>
      </c>
      <c r="BI123" t="s">
        <v>82</v>
      </c>
      <c r="BJ123" t="s">
        <v>82</v>
      </c>
      <c r="BK123" t="s">
        <v>82</v>
      </c>
      <c r="BL123" t="s">
        <v>90</v>
      </c>
      <c r="BM123" t="s">
        <v>714</v>
      </c>
      <c r="BN123" t="s">
        <v>715</v>
      </c>
    </row>
    <row r="124" spans="1:66" x14ac:dyDescent="0.35">
      <c r="A124">
        <v>200519</v>
      </c>
      <c r="B124" t="s">
        <v>1204</v>
      </c>
      <c r="C124" t="s">
        <v>65</v>
      </c>
      <c r="D124" t="s">
        <v>66</v>
      </c>
      <c r="E124" t="s">
        <v>586</v>
      </c>
      <c r="F124" t="s">
        <v>158</v>
      </c>
      <c r="G124" t="s">
        <v>69</v>
      </c>
      <c r="H124" t="s">
        <v>70</v>
      </c>
      <c r="I124" t="s">
        <v>1208</v>
      </c>
      <c r="J124" t="s">
        <v>1249</v>
      </c>
      <c r="K124" t="s">
        <v>1250</v>
      </c>
      <c r="L124" t="s">
        <v>1250</v>
      </c>
      <c r="M124" t="s">
        <v>1251</v>
      </c>
      <c r="N124" t="s">
        <v>1252</v>
      </c>
      <c r="O124" t="s">
        <v>77</v>
      </c>
      <c r="P124" s="2">
        <f t="shared" si="2"/>
        <v>5.4333333333333336</v>
      </c>
      <c r="Q124" t="s">
        <v>1253</v>
      </c>
      <c r="R124" s="2">
        <f t="shared" si="3"/>
        <v>7.6422222222222231</v>
      </c>
      <c r="S124" t="s">
        <v>1254</v>
      </c>
      <c r="T124">
        <v>3</v>
      </c>
      <c r="U124">
        <v>1</v>
      </c>
      <c r="V124" t="s">
        <v>80</v>
      </c>
      <c r="W124" t="s">
        <v>80</v>
      </c>
      <c r="X124" t="s">
        <v>81</v>
      </c>
      <c r="Y124" t="s">
        <v>82</v>
      </c>
      <c r="Z124" t="s">
        <v>82</v>
      </c>
      <c r="AA124" t="s">
        <v>83</v>
      </c>
      <c r="AB124" t="s">
        <v>84</v>
      </c>
      <c r="AC124" t="s">
        <v>82</v>
      </c>
      <c r="AD124" t="s">
        <v>85</v>
      </c>
      <c r="AE124" t="s">
        <v>82</v>
      </c>
      <c r="AF124" t="s">
        <v>82</v>
      </c>
      <c r="AG124" t="s">
        <v>87</v>
      </c>
      <c r="AH124" t="s">
        <v>82</v>
      </c>
      <c r="AI124" t="s">
        <v>1255</v>
      </c>
      <c r="AJ124" t="s">
        <v>82</v>
      </c>
      <c r="AK124" t="s">
        <v>82</v>
      </c>
      <c r="AL124" t="s">
        <v>82</v>
      </c>
      <c r="AM124" t="s">
        <v>82</v>
      </c>
      <c r="AN124" t="s">
        <v>169</v>
      </c>
      <c r="AO124" t="s">
        <v>82</v>
      </c>
      <c r="AP124" t="s">
        <v>82</v>
      </c>
      <c r="AQ124" t="s">
        <v>82</v>
      </c>
      <c r="AR124" t="s">
        <v>82</v>
      </c>
      <c r="AS124" t="s">
        <v>130</v>
      </c>
      <c r="AT124" t="s">
        <v>1213</v>
      </c>
      <c r="AU124" t="s">
        <v>6</v>
      </c>
      <c r="AV124" t="s">
        <v>90</v>
      </c>
      <c r="AW124" t="s">
        <v>90</v>
      </c>
      <c r="AX124" t="s">
        <v>82</v>
      </c>
      <c r="AY124" t="s">
        <v>82</v>
      </c>
      <c r="AZ124" t="s">
        <v>90</v>
      </c>
      <c r="BA124" t="s">
        <v>90</v>
      </c>
      <c r="BB124" t="s">
        <v>90</v>
      </c>
      <c r="BC124" t="s">
        <v>90</v>
      </c>
      <c r="BD124" t="s">
        <v>82</v>
      </c>
      <c r="BE124" t="s">
        <v>90</v>
      </c>
      <c r="BF124" t="s">
        <v>82</v>
      </c>
      <c r="BG124" t="s">
        <v>82</v>
      </c>
      <c r="BH124" t="s">
        <v>82</v>
      </c>
      <c r="BI124" t="s">
        <v>82</v>
      </c>
      <c r="BJ124" t="s">
        <v>82</v>
      </c>
      <c r="BK124" t="s">
        <v>82</v>
      </c>
      <c r="BL124" t="s">
        <v>90</v>
      </c>
      <c r="BM124" t="s">
        <v>1211</v>
      </c>
      <c r="BN124" t="s">
        <v>1256</v>
      </c>
    </row>
    <row r="125" spans="1:66" x14ac:dyDescent="0.35">
      <c r="A125">
        <v>200875</v>
      </c>
      <c r="B125" t="s">
        <v>1257</v>
      </c>
      <c r="C125" t="s">
        <v>65</v>
      </c>
      <c r="D125" t="s">
        <v>66</v>
      </c>
      <c r="E125" t="s">
        <v>67</v>
      </c>
      <c r="F125" t="s">
        <v>158</v>
      </c>
      <c r="G125" t="s">
        <v>69</v>
      </c>
      <c r="H125" t="s">
        <v>70</v>
      </c>
      <c r="I125" t="s">
        <v>1258</v>
      </c>
      <c r="J125" t="s">
        <v>1259</v>
      </c>
      <c r="K125" t="s">
        <v>1260</v>
      </c>
      <c r="L125" t="s">
        <v>1261</v>
      </c>
      <c r="M125" t="s">
        <v>1262</v>
      </c>
      <c r="N125" t="s">
        <v>1263</v>
      </c>
      <c r="O125" t="s">
        <v>77</v>
      </c>
      <c r="P125" s="2">
        <f t="shared" si="2"/>
        <v>34.050000000000004</v>
      </c>
      <c r="Q125" t="s">
        <v>1264</v>
      </c>
      <c r="R125" s="2">
        <f t="shared" si="3"/>
        <v>23.861111111111111</v>
      </c>
      <c r="S125" t="s">
        <v>1265</v>
      </c>
      <c r="T125">
        <v>1</v>
      </c>
      <c r="U125">
        <v>1</v>
      </c>
      <c r="V125" t="s">
        <v>80</v>
      </c>
      <c r="W125" t="s">
        <v>80</v>
      </c>
      <c r="X125" t="s">
        <v>81</v>
      </c>
      <c r="Y125" t="s">
        <v>82</v>
      </c>
      <c r="Z125" t="s">
        <v>82</v>
      </c>
      <c r="AA125" t="s">
        <v>83</v>
      </c>
      <c r="AB125" t="s">
        <v>84</v>
      </c>
      <c r="AC125" t="s">
        <v>82</v>
      </c>
      <c r="AD125" t="s">
        <v>85</v>
      </c>
      <c r="AE125" t="s">
        <v>1266</v>
      </c>
      <c r="AF125" t="s">
        <v>82</v>
      </c>
      <c r="AG125" t="s">
        <v>87</v>
      </c>
      <c r="AH125" t="s">
        <v>1266</v>
      </c>
      <c r="AI125" t="s">
        <v>1267</v>
      </c>
      <c r="AJ125" t="s">
        <v>82</v>
      </c>
      <c r="AK125" t="s">
        <v>82</v>
      </c>
      <c r="AL125" t="s">
        <v>82</v>
      </c>
      <c r="AM125" t="s">
        <v>82</v>
      </c>
      <c r="AN125" t="s">
        <v>169</v>
      </c>
      <c r="AO125" t="s">
        <v>82</v>
      </c>
      <c r="AP125" t="s">
        <v>82</v>
      </c>
      <c r="AQ125" t="s">
        <v>82</v>
      </c>
      <c r="AR125" t="s">
        <v>82</v>
      </c>
      <c r="AS125" t="s">
        <v>88</v>
      </c>
      <c r="AT125" t="s">
        <v>1266</v>
      </c>
      <c r="AU125" t="s">
        <v>6</v>
      </c>
      <c r="AV125" t="s">
        <v>90</v>
      </c>
      <c r="AW125" t="s">
        <v>91</v>
      </c>
      <c r="AX125" t="s">
        <v>82</v>
      </c>
      <c r="AY125" t="s">
        <v>82</v>
      </c>
      <c r="AZ125" t="s">
        <v>90</v>
      </c>
      <c r="BA125" t="s">
        <v>90</v>
      </c>
      <c r="BB125" t="s">
        <v>91</v>
      </c>
      <c r="BC125" t="s">
        <v>91</v>
      </c>
      <c r="BD125" t="s">
        <v>82</v>
      </c>
      <c r="BE125" t="s">
        <v>90</v>
      </c>
      <c r="BF125" t="s">
        <v>82</v>
      </c>
      <c r="BG125" t="s">
        <v>82</v>
      </c>
      <c r="BH125" t="s">
        <v>82</v>
      </c>
      <c r="BI125" t="s">
        <v>82</v>
      </c>
      <c r="BJ125" t="s">
        <v>82</v>
      </c>
      <c r="BK125" t="s">
        <v>82</v>
      </c>
      <c r="BL125" t="s">
        <v>90</v>
      </c>
      <c r="BM125" t="s">
        <v>1268</v>
      </c>
      <c r="BN125" t="s">
        <v>1269</v>
      </c>
    </row>
    <row r="126" spans="1:66" x14ac:dyDescent="0.35">
      <c r="A126">
        <v>201090</v>
      </c>
      <c r="B126" t="s">
        <v>1270</v>
      </c>
      <c r="C126" t="s">
        <v>65</v>
      </c>
      <c r="D126" t="s">
        <v>150</v>
      </c>
      <c r="E126" t="s">
        <v>67</v>
      </c>
      <c r="F126" t="s">
        <v>158</v>
      </c>
      <c r="G126" t="s">
        <v>69</v>
      </c>
      <c r="H126" t="s">
        <v>70</v>
      </c>
      <c r="I126" t="s">
        <v>1271</v>
      </c>
      <c r="J126" t="s">
        <v>1272</v>
      </c>
      <c r="K126" t="s">
        <v>1273</v>
      </c>
      <c r="L126" t="s">
        <v>1273</v>
      </c>
      <c r="M126" t="s">
        <v>1274</v>
      </c>
      <c r="N126" t="s">
        <v>82</v>
      </c>
      <c r="O126" t="s">
        <v>77</v>
      </c>
      <c r="P126" s="2">
        <f t="shared" si="2"/>
        <v>0</v>
      </c>
      <c r="Q126" t="s">
        <v>78</v>
      </c>
      <c r="R126" s="2">
        <f t="shared" si="3"/>
        <v>7.5769444444444449</v>
      </c>
      <c r="S126" t="s">
        <v>1275</v>
      </c>
      <c r="T126">
        <v>0</v>
      </c>
      <c r="U126">
        <v>1</v>
      </c>
      <c r="V126" t="s">
        <v>80</v>
      </c>
      <c r="W126" t="s">
        <v>82</v>
      </c>
      <c r="X126" t="s">
        <v>156</v>
      </c>
      <c r="Y126" t="s">
        <v>82</v>
      </c>
      <c r="Z126" t="s">
        <v>82</v>
      </c>
      <c r="AA126" t="s">
        <v>83</v>
      </c>
      <c r="AB126" t="s">
        <v>84</v>
      </c>
      <c r="AC126" t="s">
        <v>82</v>
      </c>
      <c r="AD126" t="s">
        <v>85</v>
      </c>
      <c r="AE126" t="s">
        <v>82</v>
      </c>
      <c r="AF126" t="s">
        <v>82</v>
      </c>
      <c r="AG126" t="s">
        <v>87</v>
      </c>
      <c r="AH126" t="s">
        <v>82</v>
      </c>
      <c r="AI126" t="s">
        <v>1090</v>
      </c>
      <c r="AJ126" t="s">
        <v>82</v>
      </c>
      <c r="AK126" t="s">
        <v>82</v>
      </c>
      <c r="AL126" t="s">
        <v>82</v>
      </c>
      <c r="AM126" t="s">
        <v>82</v>
      </c>
      <c r="AN126" t="s">
        <v>169</v>
      </c>
      <c r="AO126" t="s">
        <v>82</v>
      </c>
      <c r="AP126" t="s">
        <v>82</v>
      </c>
      <c r="AQ126" t="s">
        <v>82</v>
      </c>
      <c r="AR126" t="s">
        <v>82</v>
      </c>
      <c r="AS126" t="s">
        <v>292</v>
      </c>
      <c r="AT126" t="s">
        <v>1276</v>
      </c>
      <c r="AU126" t="s">
        <v>82</v>
      </c>
      <c r="AV126" t="s">
        <v>90</v>
      </c>
      <c r="AW126" t="s">
        <v>90</v>
      </c>
      <c r="AX126" t="s">
        <v>82</v>
      </c>
      <c r="AY126" t="s">
        <v>82</v>
      </c>
      <c r="AZ126" t="s">
        <v>90</v>
      </c>
      <c r="BA126" t="s">
        <v>90</v>
      </c>
      <c r="BB126" t="s">
        <v>90</v>
      </c>
      <c r="BC126" t="s">
        <v>90</v>
      </c>
      <c r="BD126" t="s">
        <v>82</v>
      </c>
      <c r="BE126" t="s">
        <v>90</v>
      </c>
      <c r="BF126" t="s">
        <v>82</v>
      </c>
      <c r="BG126" t="s">
        <v>82</v>
      </c>
      <c r="BH126" t="s">
        <v>82</v>
      </c>
      <c r="BI126" t="s">
        <v>82</v>
      </c>
      <c r="BJ126" t="s">
        <v>82</v>
      </c>
      <c r="BK126" t="s">
        <v>82</v>
      </c>
      <c r="BL126" t="s">
        <v>90</v>
      </c>
      <c r="BM126" t="s">
        <v>1277</v>
      </c>
      <c r="BN126" t="s">
        <v>1278</v>
      </c>
    </row>
    <row r="127" spans="1:66" x14ac:dyDescent="0.35">
      <c r="A127">
        <v>201099</v>
      </c>
      <c r="B127" t="s">
        <v>1279</v>
      </c>
      <c r="C127" t="s">
        <v>65</v>
      </c>
      <c r="D127" t="s">
        <v>66</v>
      </c>
      <c r="E127" t="s">
        <v>67</v>
      </c>
      <c r="F127" t="s">
        <v>542</v>
      </c>
      <c r="G127" t="s">
        <v>69</v>
      </c>
      <c r="H127" t="s">
        <v>70</v>
      </c>
      <c r="I127" t="s">
        <v>1280</v>
      </c>
      <c r="J127" t="s">
        <v>1281</v>
      </c>
      <c r="K127" t="s">
        <v>1282</v>
      </c>
      <c r="L127" t="s">
        <v>1282</v>
      </c>
      <c r="M127" t="s">
        <v>1283</v>
      </c>
      <c r="N127" t="s">
        <v>82</v>
      </c>
      <c r="O127" t="s">
        <v>77</v>
      </c>
      <c r="P127" s="2">
        <f t="shared" si="2"/>
        <v>0</v>
      </c>
      <c r="Q127" t="s">
        <v>78</v>
      </c>
      <c r="R127" s="2">
        <f t="shared" si="3"/>
        <v>0.28388888888888891</v>
      </c>
      <c r="S127" t="s">
        <v>1284</v>
      </c>
      <c r="T127">
        <v>0</v>
      </c>
      <c r="U127">
        <v>1</v>
      </c>
      <c r="V127" t="s">
        <v>80</v>
      </c>
      <c r="W127" t="s">
        <v>82</v>
      </c>
      <c r="X127" t="s">
        <v>548</v>
      </c>
      <c r="Y127" t="s">
        <v>82</v>
      </c>
      <c r="Z127" t="s">
        <v>82</v>
      </c>
      <c r="AA127" t="s">
        <v>83</v>
      </c>
      <c r="AB127" t="s">
        <v>84</v>
      </c>
      <c r="AC127" t="s">
        <v>82</v>
      </c>
      <c r="AD127" t="s">
        <v>85</v>
      </c>
      <c r="AE127" t="s">
        <v>82</v>
      </c>
      <c r="AF127" t="s">
        <v>82</v>
      </c>
      <c r="AG127" t="s">
        <v>82</v>
      </c>
      <c r="AH127" t="s">
        <v>82</v>
      </c>
      <c r="AI127" t="s">
        <v>82</v>
      </c>
      <c r="AJ127" t="s">
        <v>82</v>
      </c>
      <c r="AK127" t="s">
        <v>82</v>
      </c>
      <c r="AL127" t="s">
        <v>82</v>
      </c>
      <c r="AM127" t="s">
        <v>82</v>
      </c>
      <c r="AN127" t="s">
        <v>82</v>
      </c>
      <c r="AO127" t="s">
        <v>82</v>
      </c>
      <c r="AP127" t="s">
        <v>82</v>
      </c>
      <c r="AQ127" t="s">
        <v>82</v>
      </c>
      <c r="AR127" t="s">
        <v>82</v>
      </c>
      <c r="AS127" t="s">
        <v>82</v>
      </c>
      <c r="AT127" t="s">
        <v>82</v>
      </c>
      <c r="AU127" t="s">
        <v>82</v>
      </c>
      <c r="AV127" t="s">
        <v>90</v>
      </c>
      <c r="AW127" t="s">
        <v>90</v>
      </c>
      <c r="AX127" t="s">
        <v>82</v>
      </c>
      <c r="AY127" t="s">
        <v>82</v>
      </c>
      <c r="AZ127" t="s">
        <v>90</v>
      </c>
      <c r="BA127" t="s">
        <v>90</v>
      </c>
      <c r="BB127" t="s">
        <v>90</v>
      </c>
      <c r="BC127" t="s">
        <v>90</v>
      </c>
      <c r="BD127" t="s">
        <v>82</v>
      </c>
      <c r="BE127" t="s">
        <v>90</v>
      </c>
      <c r="BF127" t="s">
        <v>82</v>
      </c>
      <c r="BG127" t="s">
        <v>82</v>
      </c>
      <c r="BH127" t="s">
        <v>82</v>
      </c>
      <c r="BI127" t="s">
        <v>82</v>
      </c>
      <c r="BJ127" t="s">
        <v>82</v>
      </c>
      <c r="BK127" t="s">
        <v>82</v>
      </c>
      <c r="BL127" t="s">
        <v>90</v>
      </c>
      <c r="BM127" t="s">
        <v>1285</v>
      </c>
      <c r="BN127" t="s">
        <v>1286</v>
      </c>
    </row>
    <row r="128" spans="1:66" x14ac:dyDescent="0.35">
      <c r="A128">
        <v>201809</v>
      </c>
      <c r="B128" t="s">
        <v>1287</v>
      </c>
      <c r="C128" t="s">
        <v>65</v>
      </c>
      <c r="D128" t="s">
        <v>66</v>
      </c>
      <c r="E128" t="s">
        <v>67</v>
      </c>
      <c r="F128" t="s">
        <v>158</v>
      </c>
      <c r="G128" t="s">
        <v>69</v>
      </c>
      <c r="H128" t="s">
        <v>70</v>
      </c>
      <c r="I128" t="s">
        <v>1288</v>
      </c>
      <c r="J128" t="s">
        <v>1289</v>
      </c>
      <c r="K128" t="s">
        <v>1290</v>
      </c>
      <c r="L128" t="s">
        <v>1291</v>
      </c>
      <c r="M128" t="s">
        <v>1292</v>
      </c>
      <c r="N128" t="s">
        <v>1293</v>
      </c>
      <c r="O128" t="s">
        <v>77</v>
      </c>
      <c r="P128" s="2">
        <f t="shared" si="2"/>
        <v>9.4333333333333336</v>
      </c>
      <c r="Q128" t="s">
        <v>1294</v>
      </c>
      <c r="R128" s="2">
        <f t="shared" si="3"/>
        <v>111.06944444444443</v>
      </c>
      <c r="S128" t="s">
        <v>1295</v>
      </c>
      <c r="T128">
        <v>9</v>
      </c>
      <c r="U128">
        <v>8</v>
      </c>
      <c r="V128" t="s">
        <v>80</v>
      </c>
      <c r="W128" t="s">
        <v>80</v>
      </c>
      <c r="X128" t="s">
        <v>1296</v>
      </c>
      <c r="Y128" t="s">
        <v>1297</v>
      </c>
      <c r="Z128" t="s">
        <v>82</v>
      </c>
      <c r="AA128" t="s">
        <v>83</v>
      </c>
      <c r="AB128" t="s">
        <v>84</v>
      </c>
      <c r="AC128" t="s">
        <v>82</v>
      </c>
      <c r="AD128" t="s">
        <v>85</v>
      </c>
      <c r="AE128" t="s">
        <v>1298</v>
      </c>
      <c r="AF128" t="s">
        <v>82</v>
      </c>
      <c r="AG128" t="s">
        <v>87</v>
      </c>
      <c r="AH128" t="s">
        <v>1299</v>
      </c>
      <c r="AI128" t="s">
        <v>1300</v>
      </c>
      <c r="AJ128" t="s">
        <v>82</v>
      </c>
      <c r="AK128" t="s">
        <v>82</v>
      </c>
      <c r="AL128" t="s">
        <v>82</v>
      </c>
      <c r="AM128" t="s">
        <v>82</v>
      </c>
      <c r="AN128" t="s">
        <v>169</v>
      </c>
      <c r="AO128" t="s">
        <v>82</v>
      </c>
      <c r="AP128" t="s">
        <v>82</v>
      </c>
      <c r="AQ128" t="s">
        <v>82</v>
      </c>
      <c r="AR128" t="s">
        <v>82</v>
      </c>
      <c r="AS128" t="s">
        <v>88</v>
      </c>
      <c r="AT128" t="s">
        <v>1299</v>
      </c>
      <c r="AU128" t="s">
        <v>6</v>
      </c>
      <c r="AV128" t="s">
        <v>90</v>
      </c>
      <c r="AW128" t="s">
        <v>91</v>
      </c>
      <c r="AX128" t="s">
        <v>82</v>
      </c>
      <c r="AY128" t="s">
        <v>82</v>
      </c>
      <c r="AZ128" t="s">
        <v>90</v>
      </c>
      <c r="BA128" t="s">
        <v>90</v>
      </c>
      <c r="BB128" t="s">
        <v>91</v>
      </c>
      <c r="BC128" t="s">
        <v>91</v>
      </c>
      <c r="BD128" t="s">
        <v>82</v>
      </c>
      <c r="BE128" t="s">
        <v>90</v>
      </c>
      <c r="BF128" t="s">
        <v>82</v>
      </c>
      <c r="BG128" t="s">
        <v>82</v>
      </c>
      <c r="BH128" t="s">
        <v>82</v>
      </c>
      <c r="BI128" t="s">
        <v>82</v>
      </c>
      <c r="BJ128" t="s">
        <v>82</v>
      </c>
      <c r="BK128" t="s">
        <v>82</v>
      </c>
      <c r="BL128" t="s">
        <v>90</v>
      </c>
      <c r="BM128" t="s">
        <v>1298</v>
      </c>
      <c r="BN128" t="s">
        <v>1301</v>
      </c>
    </row>
    <row r="129" spans="1:66" x14ac:dyDescent="0.35">
      <c r="A129">
        <v>201910</v>
      </c>
      <c r="B129" t="s">
        <v>1270</v>
      </c>
      <c r="C129" t="s">
        <v>65</v>
      </c>
      <c r="D129" t="s">
        <v>150</v>
      </c>
      <c r="E129" t="s">
        <v>95</v>
      </c>
      <c r="F129" t="s">
        <v>87</v>
      </c>
      <c r="G129" t="s">
        <v>69</v>
      </c>
      <c r="H129" t="s">
        <v>70</v>
      </c>
      <c r="I129" t="s">
        <v>1302</v>
      </c>
      <c r="J129" t="s">
        <v>1303</v>
      </c>
      <c r="K129" t="s">
        <v>1304</v>
      </c>
      <c r="L129" t="s">
        <v>1304</v>
      </c>
      <c r="M129" t="s">
        <v>1305</v>
      </c>
      <c r="N129" t="s">
        <v>1306</v>
      </c>
      <c r="O129" t="s">
        <v>77</v>
      </c>
      <c r="P129" s="2">
        <f t="shared" si="2"/>
        <v>6.55</v>
      </c>
      <c r="Q129" t="s">
        <v>1307</v>
      </c>
      <c r="R129" s="2">
        <f t="shared" si="3"/>
        <v>0.44277777777777771</v>
      </c>
      <c r="S129" t="s">
        <v>1308</v>
      </c>
      <c r="T129">
        <v>1</v>
      </c>
      <c r="U129">
        <v>2</v>
      </c>
      <c r="V129" t="s">
        <v>80</v>
      </c>
      <c r="W129" t="s">
        <v>80</v>
      </c>
      <c r="X129" t="s">
        <v>156</v>
      </c>
      <c r="Y129" t="s">
        <v>82</v>
      </c>
      <c r="Z129" t="s">
        <v>82</v>
      </c>
      <c r="AA129" t="s">
        <v>83</v>
      </c>
      <c r="AB129" t="s">
        <v>84</v>
      </c>
      <c r="AC129" t="s">
        <v>82</v>
      </c>
      <c r="AD129" t="s">
        <v>85</v>
      </c>
      <c r="AE129" t="s">
        <v>1277</v>
      </c>
      <c r="AF129" t="s">
        <v>82</v>
      </c>
      <c r="AG129" t="s">
        <v>87</v>
      </c>
      <c r="AH129" t="s">
        <v>1276</v>
      </c>
      <c r="AI129" t="s">
        <v>1276</v>
      </c>
      <c r="AJ129" t="s">
        <v>82</v>
      </c>
      <c r="AK129" t="s">
        <v>82</v>
      </c>
      <c r="AL129" t="s">
        <v>82</v>
      </c>
      <c r="AM129" t="s">
        <v>82</v>
      </c>
      <c r="AN129" t="s">
        <v>82</v>
      </c>
      <c r="AO129" t="s">
        <v>82</v>
      </c>
      <c r="AP129" t="s">
        <v>82</v>
      </c>
      <c r="AQ129" t="s">
        <v>82</v>
      </c>
      <c r="AR129" t="s">
        <v>82</v>
      </c>
      <c r="AS129" t="s">
        <v>88</v>
      </c>
      <c r="AT129" t="s">
        <v>1276</v>
      </c>
      <c r="AU129" t="s">
        <v>106</v>
      </c>
      <c r="AV129" t="s">
        <v>90</v>
      </c>
      <c r="AW129" t="s">
        <v>90</v>
      </c>
      <c r="AX129" t="s">
        <v>82</v>
      </c>
      <c r="AY129" t="s">
        <v>82</v>
      </c>
      <c r="AZ129" t="s">
        <v>90</v>
      </c>
      <c r="BA129" t="s">
        <v>90</v>
      </c>
      <c r="BB129" t="s">
        <v>90</v>
      </c>
      <c r="BC129" t="s">
        <v>90</v>
      </c>
      <c r="BD129" t="s">
        <v>1309</v>
      </c>
      <c r="BE129" t="s">
        <v>90</v>
      </c>
      <c r="BF129" t="s">
        <v>82</v>
      </c>
      <c r="BG129" t="s">
        <v>82</v>
      </c>
      <c r="BH129" t="s">
        <v>82</v>
      </c>
      <c r="BI129" t="s">
        <v>82</v>
      </c>
      <c r="BJ129" t="s">
        <v>82</v>
      </c>
      <c r="BK129" t="s">
        <v>82</v>
      </c>
      <c r="BL129" t="s">
        <v>90</v>
      </c>
      <c r="BM129" t="s">
        <v>1277</v>
      </c>
      <c r="BN129" t="s">
        <v>1278</v>
      </c>
    </row>
    <row r="130" spans="1:66" x14ac:dyDescent="0.35">
      <c r="A130">
        <v>202239</v>
      </c>
      <c r="B130" t="s">
        <v>1310</v>
      </c>
      <c r="C130" t="s">
        <v>65</v>
      </c>
      <c r="D130" t="s">
        <v>66</v>
      </c>
      <c r="E130" t="s">
        <v>95</v>
      </c>
      <c r="F130" t="s">
        <v>158</v>
      </c>
      <c r="G130" t="s">
        <v>69</v>
      </c>
      <c r="H130" t="s">
        <v>70</v>
      </c>
      <c r="I130" t="s">
        <v>1311</v>
      </c>
      <c r="J130" t="s">
        <v>1312</v>
      </c>
      <c r="K130" t="s">
        <v>1313</v>
      </c>
      <c r="L130" t="s">
        <v>1314</v>
      </c>
      <c r="M130" t="s">
        <v>1315</v>
      </c>
      <c r="N130" t="s">
        <v>1316</v>
      </c>
      <c r="O130" t="s">
        <v>77</v>
      </c>
      <c r="P130" s="2">
        <f t="shared" si="2"/>
        <v>0</v>
      </c>
      <c r="Q130" t="s">
        <v>78</v>
      </c>
      <c r="R130" s="2">
        <f t="shared" si="3"/>
        <v>2.2241666666666666</v>
      </c>
      <c r="S130" t="s">
        <v>1317</v>
      </c>
      <c r="T130">
        <v>4</v>
      </c>
      <c r="U130">
        <v>3</v>
      </c>
      <c r="V130" t="s">
        <v>80</v>
      </c>
      <c r="W130" t="s">
        <v>80</v>
      </c>
      <c r="X130" t="s">
        <v>81</v>
      </c>
      <c r="Y130" t="s">
        <v>82</v>
      </c>
      <c r="Z130" t="s">
        <v>82</v>
      </c>
      <c r="AA130" t="s">
        <v>83</v>
      </c>
      <c r="AB130" t="s">
        <v>84</v>
      </c>
      <c r="AC130" t="s">
        <v>82</v>
      </c>
      <c r="AD130" t="s">
        <v>85</v>
      </c>
      <c r="AE130" t="s">
        <v>1278</v>
      </c>
      <c r="AF130" t="s">
        <v>82</v>
      </c>
      <c r="AG130" t="s">
        <v>87</v>
      </c>
      <c r="AH130" t="s">
        <v>1318</v>
      </c>
      <c r="AI130" t="s">
        <v>1319</v>
      </c>
      <c r="AJ130" t="s">
        <v>82</v>
      </c>
      <c r="AK130" t="s">
        <v>82</v>
      </c>
      <c r="AL130" t="s">
        <v>82</v>
      </c>
      <c r="AM130" t="s">
        <v>82</v>
      </c>
      <c r="AN130" t="s">
        <v>1320</v>
      </c>
      <c r="AO130" t="s">
        <v>82</v>
      </c>
      <c r="AP130" t="s">
        <v>82</v>
      </c>
      <c r="AQ130" t="s">
        <v>82</v>
      </c>
      <c r="AR130" t="s">
        <v>82</v>
      </c>
      <c r="AS130" t="s">
        <v>88</v>
      </c>
      <c r="AT130" t="s">
        <v>1318</v>
      </c>
      <c r="AU130" t="s">
        <v>6</v>
      </c>
      <c r="AV130" t="s">
        <v>90</v>
      </c>
      <c r="AW130" t="s">
        <v>90</v>
      </c>
      <c r="AX130" t="s">
        <v>82</v>
      </c>
      <c r="AY130" t="s">
        <v>82</v>
      </c>
      <c r="AZ130" t="s">
        <v>90</v>
      </c>
      <c r="BA130" t="s">
        <v>90</v>
      </c>
      <c r="BB130" t="s">
        <v>90</v>
      </c>
      <c r="BC130" t="s">
        <v>90</v>
      </c>
      <c r="BD130" t="s">
        <v>82</v>
      </c>
      <c r="BE130" t="s">
        <v>90</v>
      </c>
      <c r="BF130" t="s">
        <v>82</v>
      </c>
      <c r="BG130" t="s">
        <v>82</v>
      </c>
      <c r="BH130" t="s">
        <v>82</v>
      </c>
      <c r="BI130" t="s">
        <v>82</v>
      </c>
      <c r="BJ130" t="s">
        <v>82</v>
      </c>
      <c r="BK130" t="s">
        <v>82</v>
      </c>
      <c r="BL130" t="s">
        <v>90</v>
      </c>
      <c r="BM130" t="s">
        <v>1277</v>
      </c>
      <c r="BN130" t="s">
        <v>1278</v>
      </c>
    </row>
    <row r="131" spans="1:66" x14ac:dyDescent="0.35">
      <c r="A131">
        <v>202287</v>
      </c>
      <c r="B131" t="s">
        <v>1321</v>
      </c>
      <c r="C131" t="s">
        <v>65</v>
      </c>
      <c r="D131" t="s">
        <v>66</v>
      </c>
      <c r="E131" t="s">
        <v>67</v>
      </c>
      <c r="F131" t="s">
        <v>158</v>
      </c>
      <c r="G131" t="s">
        <v>69</v>
      </c>
      <c r="H131" t="s">
        <v>70</v>
      </c>
      <c r="I131" t="s">
        <v>1322</v>
      </c>
      <c r="J131" t="s">
        <v>1323</v>
      </c>
      <c r="K131" t="s">
        <v>1324</v>
      </c>
      <c r="L131" t="s">
        <v>1324</v>
      </c>
      <c r="M131" t="s">
        <v>1325</v>
      </c>
      <c r="N131" t="s">
        <v>1326</v>
      </c>
      <c r="O131" t="s">
        <v>77</v>
      </c>
      <c r="P131" s="2">
        <f t="shared" ref="P131:P151" si="4">Q131*1440</f>
        <v>30.6</v>
      </c>
      <c r="Q131" t="s">
        <v>1327</v>
      </c>
      <c r="R131" s="2">
        <f t="shared" ref="R131:R151" si="5">S131*24</f>
        <v>76.922777777777782</v>
      </c>
      <c r="S131" t="s">
        <v>1328</v>
      </c>
      <c r="T131">
        <v>21</v>
      </c>
      <c r="U131">
        <v>25</v>
      </c>
      <c r="V131" t="s">
        <v>80</v>
      </c>
      <c r="W131" t="s">
        <v>80</v>
      </c>
      <c r="X131" t="s">
        <v>1329</v>
      </c>
      <c r="Y131" t="s">
        <v>82</v>
      </c>
      <c r="Z131" t="s">
        <v>82</v>
      </c>
      <c r="AA131" t="s">
        <v>83</v>
      </c>
      <c r="AB131" t="s">
        <v>84</v>
      </c>
      <c r="AC131" t="s">
        <v>82</v>
      </c>
      <c r="AD131" t="s">
        <v>85</v>
      </c>
      <c r="AE131" t="s">
        <v>82</v>
      </c>
      <c r="AF131" t="s">
        <v>82</v>
      </c>
      <c r="AG131" t="s">
        <v>87</v>
      </c>
      <c r="AH131" t="s">
        <v>1330</v>
      </c>
      <c r="AI131" t="s">
        <v>1331</v>
      </c>
      <c r="AJ131" t="s">
        <v>82</v>
      </c>
      <c r="AK131" t="s">
        <v>82</v>
      </c>
      <c r="AL131" t="s">
        <v>82</v>
      </c>
      <c r="AM131" t="s">
        <v>82</v>
      </c>
      <c r="AN131" t="s">
        <v>1147</v>
      </c>
      <c r="AO131" t="s">
        <v>82</v>
      </c>
      <c r="AP131" t="s">
        <v>82</v>
      </c>
      <c r="AQ131" t="s">
        <v>82</v>
      </c>
      <c r="AR131" t="s">
        <v>82</v>
      </c>
      <c r="AS131" t="s">
        <v>88</v>
      </c>
      <c r="AT131" t="s">
        <v>1330</v>
      </c>
      <c r="AU131" t="s">
        <v>6</v>
      </c>
      <c r="AV131" t="s">
        <v>90</v>
      </c>
      <c r="AW131" t="s">
        <v>90</v>
      </c>
      <c r="AX131" t="s">
        <v>82</v>
      </c>
      <c r="AY131" t="s">
        <v>82</v>
      </c>
      <c r="AZ131" t="s">
        <v>90</v>
      </c>
      <c r="BA131" t="s">
        <v>90</v>
      </c>
      <c r="BB131" t="s">
        <v>90</v>
      </c>
      <c r="BC131" t="s">
        <v>90</v>
      </c>
      <c r="BD131" t="s">
        <v>82</v>
      </c>
      <c r="BE131" t="s">
        <v>90</v>
      </c>
      <c r="BF131" t="s">
        <v>82</v>
      </c>
      <c r="BG131" t="s">
        <v>82</v>
      </c>
      <c r="BH131" t="s">
        <v>82</v>
      </c>
      <c r="BI131" t="s">
        <v>82</v>
      </c>
      <c r="BJ131" t="s">
        <v>82</v>
      </c>
      <c r="BK131" t="s">
        <v>82</v>
      </c>
      <c r="BL131" t="s">
        <v>90</v>
      </c>
      <c r="BM131" t="s">
        <v>1330</v>
      </c>
      <c r="BN131" t="s">
        <v>1332</v>
      </c>
    </row>
    <row r="132" spans="1:66" x14ac:dyDescent="0.35">
      <c r="A132">
        <v>202837</v>
      </c>
      <c r="B132" t="s">
        <v>1333</v>
      </c>
      <c r="C132" t="s">
        <v>65</v>
      </c>
      <c r="D132" t="s">
        <v>66</v>
      </c>
      <c r="E132" t="s">
        <v>67</v>
      </c>
      <c r="F132" t="s">
        <v>123</v>
      </c>
      <c r="G132" t="s">
        <v>69</v>
      </c>
      <c r="H132" t="s">
        <v>70</v>
      </c>
      <c r="I132" t="s">
        <v>1334</v>
      </c>
      <c r="J132" t="s">
        <v>1335</v>
      </c>
      <c r="K132" t="s">
        <v>1336</v>
      </c>
      <c r="L132" t="s">
        <v>1336</v>
      </c>
      <c r="M132" t="s">
        <v>1337</v>
      </c>
      <c r="N132" t="s">
        <v>82</v>
      </c>
      <c r="O132" t="s">
        <v>77</v>
      </c>
      <c r="P132" s="2">
        <f t="shared" si="4"/>
        <v>0</v>
      </c>
      <c r="Q132" t="s">
        <v>78</v>
      </c>
      <c r="R132" s="2">
        <f t="shared" si="5"/>
        <v>5.6666666666666671E-2</v>
      </c>
      <c r="S132" t="s">
        <v>1338</v>
      </c>
      <c r="T132">
        <v>0</v>
      </c>
      <c r="U132">
        <v>1</v>
      </c>
      <c r="V132" t="s">
        <v>80</v>
      </c>
      <c r="W132" t="s">
        <v>82</v>
      </c>
      <c r="X132" t="s">
        <v>81</v>
      </c>
      <c r="Y132" t="s">
        <v>82</v>
      </c>
      <c r="Z132" t="s">
        <v>82</v>
      </c>
      <c r="AA132" t="s">
        <v>83</v>
      </c>
      <c r="AB132" t="s">
        <v>84</v>
      </c>
      <c r="AC132" t="s">
        <v>82</v>
      </c>
      <c r="AD132" t="s">
        <v>85</v>
      </c>
      <c r="AE132" t="s">
        <v>82</v>
      </c>
      <c r="AF132" t="s">
        <v>82</v>
      </c>
      <c r="AG132" t="s">
        <v>87</v>
      </c>
      <c r="AH132" t="s">
        <v>82</v>
      </c>
      <c r="AI132" t="s">
        <v>129</v>
      </c>
      <c r="AJ132" t="s">
        <v>82</v>
      </c>
      <c r="AK132" t="s">
        <v>82</v>
      </c>
      <c r="AL132" t="s">
        <v>82</v>
      </c>
      <c r="AM132" t="s">
        <v>82</v>
      </c>
      <c r="AN132" t="s">
        <v>82</v>
      </c>
      <c r="AO132" t="s">
        <v>82</v>
      </c>
      <c r="AP132" t="s">
        <v>82</v>
      </c>
      <c r="AQ132" t="s">
        <v>82</v>
      </c>
      <c r="AR132" t="s">
        <v>82</v>
      </c>
      <c r="AS132" t="s">
        <v>130</v>
      </c>
      <c r="AT132" t="s">
        <v>129</v>
      </c>
      <c r="AU132" t="s">
        <v>82</v>
      </c>
      <c r="AV132" t="s">
        <v>90</v>
      </c>
      <c r="AW132" t="s">
        <v>90</v>
      </c>
      <c r="AX132" t="s">
        <v>82</v>
      </c>
      <c r="AY132" t="s">
        <v>82</v>
      </c>
      <c r="AZ132" t="s">
        <v>90</v>
      </c>
      <c r="BA132" t="s">
        <v>90</v>
      </c>
      <c r="BB132" t="s">
        <v>90</v>
      </c>
      <c r="BC132" t="s">
        <v>90</v>
      </c>
      <c r="BD132" t="s">
        <v>82</v>
      </c>
      <c r="BE132" t="s">
        <v>90</v>
      </c>
      <c r="BF132" t="s">
        <v>82</v>
      </c>
      <c r="BG132" t="s">
        <v>82</v>
      </c>
      <c r="BH132" t="s">
        <v>82</v>
      </c>
      <c r="BI132" t="s">
        <v>82</v>
      </c>
      <c r="BJ132" t="s">
        <v>82</v>
      </c>
      <c r="BK132" t="s">
        <v>82</v>
      </c>
      <c r="BL132" t="s">
        <v>90</v>
      </c>
      <c r="BM132" t="s">
        <v>139</v>
      </c>
      <c r="BN132" t="s">
        <v>1339</v>
      </c>
    </row>
    <row r="133" spans="1:66" x14ac:dyDescent="0.35">
      <c r="A133">
        <v>203373</v>
      </c>
      <c r="B133" t="s">
        <v>1340</v>
      </c>
      <c r="C133" t="s">
        <v>65</v>
      </c>
      <c r="D133" t="s">
        <v>66</v>
      </c>
      <c r="E133" t="s">
        <v>67</v>
      </c>
      <c r="F133" t="s">
        <v>68</v>
      </c>
      <c r="G133" t="s">
        <v>69</v>
      </c>
      <c r="H133" t="s">
        <v>70</v>
      </c>
      <c r="I133" t="s">
        <v>1341</v>
      </c>
      <c r="J133" t="s">
        <v>1342</v>
      </c>
      <c r="K133" t="s">
        <v>1343</v>
      </c>
      <c r="L133" t="s">
        <v>1344</v>
      </c>
      <c r="M133" t="s">
        <v>1345</v>
      </c>
      <c r="N133" t="s">
        <v>1346</v>
      </c>
      <c r="O133" t="s">
        <v>77</v>
      </c>
      <c r="P133" s="2">
        <f t="shared" si="4"/>
        <v>34.283333333333331</v>
      </c>
      <c r="Q133" t="s">
        <v>1347</v>
      </c>
      <c r="R133" s="2">
        <f t="shared" si="5"/>
        <v>94.026388888888889</v>
      </c>
      <c r="S133" t="s">
        <v>1348</v>
      </c>
      <c r="T133">
        <v>6</v>
      </c>
      <c r="U133">
        <v>4</v>
      </c>
      <c r="V133" t="s">
        <v>80</v>
      </c>
      <c r="W133" t="s">
        <v>80</v>
      </c>
      <c r="X133" t="s">
        <v>1349</v>
      </c>
      <c r="Y133" t="s">
        <v>82</v>
      </c>
      <c r="Z133" t="s">
        <v>82</v>
      </c>
      <c r="AA133" t="s">
        <v>83</v>
      </c>
      <c r="AB133" t="s">
        <v>84</v>
      </c>
      <c r="AC133" t="s">
        <v>82</v>
      </c>
      <c r="AD133" t="s">
        <v>85</v>
      </c>
      <c r="AE133" t="s">
        <v>932</v>
      </c>
      <c r="AF133" t="s">
        <v>82</v>
      </c>
      <c r="AG133" t="s">
        <v>87</v>
      </c>
      <c r="AH133" t="s">
        <v>933</v>
      </c>
      <c r="AI133" t="s">
        <v>1350</v>
      </c>
      <c r="AJ133" t="s">
        <v>82</v>
      </c>
      <c r="AK133" t="s">
        <v>82</v>
      </c>
      <c r="AL133" t="s">
        <v>82</v>
      </c>
      <c r="AM133" t="s">
        <v>82</v>
      </c>
      <c r="AN133" t="s">
        <v>82</v>
      </c>
      <c r="AO133" t="s">
        <v>82</v>
      </c>
      <c r="AP133" t="s">
        <v>82</v>
      </c>
      <c r="AQ133" t="s">
        <v>82</v>
      </c>
      <c r="AR133" t="s">
        <v>82</v>
      </c>
      <c r="AS133" t="s">
        <v>88</v>
      </c>
      <c r="AT133" t="s">
        <v>933</v>
      </c>
      <c r="AU133" t="s">
        <v>6</v>
      </c>
      <c r="AV133" t="s">
        <v>91</v>
      </c>
      <c r="AW133" t="s">
        <v>91</v>
      </c>
      <c r="AX133" t="s">
        <v>82</v>
      </c>
      <c r="AY133" t="s">
        <v>82</v>
      </c>
      <c r="AZ133" t="s">
        <v>90</v>
      </c>
      <c r="BA133" t="s">
        <v>90</v>
      </c>
      <c r="BB133" t="s">
        <v>91</v>
      </c>
      <c r="BC133" t="s">
        <v>91</v>
      </c>
      <c r="BD133" t="s">
        <v>82</v>
      </c>
      <c r="BE133" t="s">
        <v>90</v>
      </c>
      <c r="BF133" t="s">
        <v>82</v>
      </c>
      <c r="BG133" t="s">
        <v>82</v>
      </c>
      <c r="BH133" t="s">
        <v>82</v>
      </c>
      <c r="BI133" t="s">
        <v>82</v>
      </c>
      <c r="BJ133" t="s">
        <v>82</v>
      </c>
      <c r="BK133" t="s">
        <v>82</v>
      </c>
      <c r="BL133" t="s">
        <v>90</v>
      </c>
      <c r="BM133" t="s">
        <v>933</v>
      </c>
      <c r="BN133" t="s">
        <v>935</v>
      </c>
    </row>
    <row r="134" spans="1:66" x14ac:dyDescent="0.35">
      <c r="A134">
        <v>203733</v>
      </c>
      <c r="B134" t="s">
        <v>1351</v>
      </c>
      <c r="C134" t="s">
        <v>65</v>
      </c>
      <c r="D134" t="s">
        <v>66</v>
      </c>
      <c r="E134" t="s">
        <v>67</v>
      </c>
      <c r="F134" t="s">
        <v>1352</v>
      </c>
      <c r="G134" t="s">
        <v>69</v>
      </c>
      <c r="H134" t="s">
        <v>70</v>
      </c>
      <c r="I134" t="s">
        <v>1353</v>
      </c>
      <c r="J134" t="s">
        <v>1354</v>
      </c>
      <c r="K134" t="s">
        <v>1355</v>
      </c>
      <c r="L134" t="s">
        <v>1355</v>
      </c>
      <c r="M134" t="s">
        <v>1355</v>
      </c>
      <c r="N134" t="s">
        <v>1356</v>
      </c>
      <c r="O134" t="s">
        <v>77</v>
      </c>
      <c r="P134" s="2">
        <f t="shared" si="4"/>
        <v>1.65</v>
      </c>
      <c r="Q134" t="s">
        <v>1357</v>
      </c>
      <c r="R134" s="2">
        <f t="shared" si="5"/>
        <v>110.69666666666667</v>
      </c>
      <c r="S134" t="s">
        <v>1358</v>
      </c>
      <c r="T134">
        <v>5</v>
      </c>
      <c r="U134">
        <v>2</v>
      </c>
      <c r="V134" t="s">
        <v>80</v>
      </c>
      <c r="W134" t="s">
        <v>80</v>
      </c>
      <c r="X134" t="s">
        <v>82</v>
      </c>
      <c r="Y134" t="s">
        <v>82</v>
      </c>
      <c r="Z134" t="s">
        <v>82</v>
      </c>
      <c r="AA134" t="s">
        <v>83</v>
      </c>
      <c r="AB134" t="s">
        <v>84</v>
      </c>
      <c r="AC134" t="s">
        <v>82</v>
      </c>
      <c r="AD134" t="s">
        <v>85</v>
      </c>
      <c r="AE134" t="s">
        <v>595</v>
      </c>
      <c r="AF134" t="s">
        <v>82</v>
      </c>
      <c r="AG134" t="s">
        <v>87</v>
      </c>
      <c r="AH134" t="s">
        <v>1359</v>
      </c>
      <c r="AI134" t="s">
        <v>596</v>
      </c>
      <c r="AJ134" t="s">
        <v>82</v>
      </c>
      <c r="AK134" t="s">
        <v>82</v>
      </c>
      <c r="AL134" t="s">
        <v>82</v>
      </c>
      <c r="AM134" t="s">
        <v>82</v>
      </c>
      <c r="AN134" t="s">
        <v>82</v>
      </c>
      <c r="AO134" t="s">
        <v>82</v>
      </c>
      <c r="AP134" t="s">
        <v>82</v>
      </c>
      <c r="AQ134" t="s">
        <v>82</v>
      </c>
      <c r="AR134" t="s">
        <v>82</v>
      </c>
      <c r="AS134" t="s">
        <v>130</v>
      </c>
      <c r="AT134" t="s">
        <v>1359</v>
      </c>
      <c r="AU134" t="s">
        <v>6</v>
      </c>
      <c r="AV134" t="s">
        <v>90</v>
      </c>
      <c r="AW134" t="s">
        <v>90</v>
      </c>
      <c r="AX134" t="s">
        <v>82</v>
      </c>
      <c r="AY134" t="s">
        <v>82</v>
      </c>
      <c r="AZ134" t="s">
        <v>90</v>
      </c>
      <c r="BA134" t="s">
        <v>90</v>
      </c>
      <c r="BB134" t="s">
        <v>90</v>
      </c>
      <c r="BC134" t="s">
        <v>90</v>
      </c>
      <c r="BD134" t="s">
        <v>82</v>
      </c>
      <c r="BE134" t="s">
        <v>90</v>
      </c>
      <c r="BF134" t="s">
        <v>82</v>
      </c>
      <c r="BG134" t="s">
        <v>82</v>
      </c>
      <c r="BH134" t="s">
        <v>82</v>
      </c>
      <c r="BI134" t="s">
        <v>82</v>
      </c>
      <c r="BJ134" t="s">
        <v>82</v>
      </c>
      <c r="BK134" t="s">
        <v>82</v>
      </c>
      <c r="BL134" t="s">
        <v>90</v>
      </c>
      <c r="BM134" t="s">
        <v>598</v>
      </c>
      <c r="BN134" t="s">
        <v>599</v>
      </c>
    </row>
    <row r="135" spans="1:66" x14ac:dyDescent="0.35">
      <c r="A135">
        <v>203771</v>
      </c>
      <c r="B135" t="s">
        <v>1360</v>
      </c>
      <c r="C135" t="s">
        <v>65</v>
      </c>
      <c r="D135" t="s">
        <v>66</v>
      </c>
      <c r="E135" t="s">
        <v>67</v>
      </c>
      <c r="F135" t="s">
        <v>187</v>
      </c>
      <c r="G135" t="s">
        <v>69</v>
      </c>
      <c r="H135" t="s">
        <v>70</v>
      </c>
      <c r="I135" t="s">
        <v>1361</v>
      </c>
      <c r="J135" t="s">
        <v>1362</v>
      </c>
      <c r="K135" t="s">
        <v>1363</v>
      </c>
      <c r="L135" t="s">
        <v>1363</v>
      </c>
      <c r="M135" t="s">
        <v>1364</v>
      </c>
      <c r="N135" t="s">
        <v>1365</v>
      </c>
      <c r="O135" t="s">
        <v>77</v>
      </c>
      <c r="P135" s="2">
        <f t="shared" si="4"/>
        <v>1.5166666666666666</v>
      </c>
      <c r="Q135" t="s">
        <v>1366</v>
      </c>
      <c r="R135" s="2">
        <f t="shared" si="5"/>
        <v>1.8072222222222223</v>
      </c>
      <c r="S135" t="s">
        <v>1367</v>
      </c>
      <c r="T135">
        <v>3</v>
      </c>
      <c r="U135">
        <v>2</v>
      </c>
      <c r="V135" t="s">
        <v>80</v>
      </c>
      <c r="W135" t="s">
        <v>80</v>
      </c>
      <c r="X135" t="s">
        <v>1368</v>
      </c>
      <c r="Y135" t="s">
        <v>82</v>
      </c>
      <c r="Z135" t="s">
        <v>82</v>
      </c>
      <c r="AA135" t="s">
        <v>83</v>
      </c>
      <c r="AB135" t="s">
        <v>84</v>
      </c>
      <c r="AC135" t="s">
        <v>82</v>
      </c>
      <c r="AD135" t="s">
        <v>220</v>
      </c>
      <c r="AE135" t="s">
        <v>1369</v>
      </c>
      <c r="AF135" t="s">
        <v>82</v>
      </c>
      <c r="AG135" t="s">
        <v>87</v>
      </c>
      <c r="AH135" t="s">
        <v>838</v>
      </c>
      <c r="AI135" t="s">
        <v>1370</v>
      </c>
      <c r="AJ135" t="s">
        <v>82</v>
      </c>
      <c r="AK135" t="s">
        <v>82</v>
      </c>
      <c r="AL135" t="s">
        <v>82</v>
      </c>
      <c r="AM135" t="s">
        <v>82</v>
      </c>
      <c r="AN135" t="s">
        <v>82</v>
      </c>
      <c r="AO135" t="s">
        <v>82</v>
      </c>
      <c r="AP135" t="s">
        <v>82</v>
      </c>
      <c r="AQ135" t="s">
        <v>82</v>
      </c>
      <c r="AR135" t="s">
        <v>698</v>
      </c>
      <c r="AS135" t="s">
        <v>292</v>
      </c>
      <c r="AT135" t="s">
        <v>838</v>
      </c>
      <c r="AU135" t="s">
        <v>6</v>
      </c>
      <c r="AV135" t="s">
        <v>90</v>
      </c>
      <c r="AW135" t="s">
        <v>90</v>
      </c>
      <c r="AX135" t="s">
        <v>82</v>
      </c>
      <c r="AY135" t="s">
        <v>82</v>
      </c>
      <c r="AZ135" t="s">
        <v>90</v>
      </c>
      <c r="BA135" t="s">
        <v>90</v>
      </c>
      <c r="BB135" t="s">
        <v>90</v>
      </c>
      <c r="BC135" t="s">
        <v>90</v>
      </c>
      <c r="BD135" t="s">
        <v>82</v>
      </c>
      <c r="BE135" t="s">
        <v>90</v>
      </c>
      <c r="BF135" t="s">
        <v>82</v>
      </c>
      <c r="BG135" t="s">
        <v>82</v>
      </c>
      <c r="BH135" t="s">
        <v>82</v>
      </c>
      <c r="BI135" t="s">
        <v>82</v>
      </c>
      <c r="BJ135" t="s">
        <v>82</v>
      </c>
      <c r="BK135" t="s">
        <v>82</v>
      </c>
      <c r="BL135" t="s">
        <v>90</v>
      </c>
      <c r="BM135" t="s">
        <v>838</v>
      </c>
      <c r="BN135" t="s">
        <v>839</v>
      </c>
    </row>
    <row r="136" spans="1:66" x14ac:dyDescent="0.35">
      <c r="A136">
        <v>203834</v>
      </c>
      <c r="B136" t="s">
        <v>1333</v>
      </c>
      <c r="C136" t="s">
        <v>65</v>
      </c>
      <c r="D136" t="s">
        <v>66</v>
      </c>
      <c r="E136" t="s">
        <v>67</v>
      </c>
      <c r="F136" t="s">
        <v>123</v>
      </c>
      <c r="G136" t="s">
        <v>69</v>
      </c>
      <c r="H136" t="s">
        <v>70</v>
      </c>
      <c r="I136" t="s">
        <v>1371</v>
      </c>
      <c r="J136" t="s">
        <v>1372</v>
      </c>
      <c r="K136" t="s">
        <v>1373</v>
      </c>
      <c r="L136" t="s">
        <v>1373</v>
      </c>
      <c r="M136" t="s">
        <v>1374</v>
      </c>
      <c r="N136" t="s">
        <v>82</v>
      </c>
      <c r="O136" t="s">
        <v>77</v>
      </c>
      <c r="P136" s="2">
        <f t="shared" si="4"/>
        <v>0</v>
      </c>
      <c r="Q136" t="s">
        <v>78</v>
      </c>
      <c r="R136" s="2">
        <f t="shared" si="5"/>
        <v>0.2361111111111111</v>
      </c>
      <c r="S136" t="s">
        <v>1375</v>
      </c>
      <c r="T136">
        <v>0</v>
      </c>
      <c r="U136">
        <v>1</v>
      </c>
      <c r="V136" t="s">
        <v>80</v>
      </c>
      <c r="W136" t="s">
        <v>82</v>
      </c>
      <c r="X136" t="s">
        <v>81</v>
      </c>
      <c r="Y136" t="s">
        <v>82</v>
      </c>
      <c r="Z136" t="s">
        <v>82</v>
      </c>
      <c r="AA136" t="s">
        <v>83</v>
      </c>
      <c r="AB136" t="s">
        <v>84</v>
      </c>
      <c r="AC136" t="s">
        <v>82</v>
      </c>
      <c r="AD136" t="s">
        <v>85</v>
      </c>
      <c r="AE136" t="s">
        <v>82</v>
      </c>
      <c r="AF136" t="s">
        <v>82</v>
      </c>
      <c r="AG136" t="s">
        <v>87</v>
      </c>
      <c r="AH136" t="s">
        <v>82</v>
      </c>
      <c r="AI136" t="s">
        <v>129</v>
      </c>
      <c r="AJ136" t="s">
        <v>82</v>
      </c>
      <c r="AK136" t="s">
        <v>82</v>
      </c>
      <c r="AL136" t="s">
        <v>82</v>
      </c>
      <c r="AM136" t="s">
        <v>82</v>
      </c>
      <c r="AN136" t="s">
        <v>82</v>
      </c>
      <c r="AO136" t="s">
        <v>82</v>
      </c>
      <c r="AP136" t="s">
        <v>82</v>
      </c>
      <c r="AQ136" t="s">
        <v>82</v>
      </c>
      <c r="AR136" t="s">
        <v>82</v>
      </c>
      <c r="AS136" t="s">
        <v>130</v>
      </c>
      <c r="AT136" t="s">
        <v>129</v>
      </c>
      <c r="AU136" t="s">
        <v>82</v>
      </c>
      <c r="AV136" t="s">
        <v>90</v>
      </c>
      <c r="AW136" t="s">
        <v>90</v>
      </c>
      <c r="AX136" t="s">
        <v>82</v>
      </c>
      <c r="AY136" t="s">
        <v>82</v>
      </c>
      <c r="AZ136" t="s">
        <v>90</v>
      </c>
      <c r="BA136" t="s">
        <v>90</v>
      </c>
      <c r="BB136" t="s">
        <v>90</v>
      </c>
      <c r="BC136" t="s">
        <v>90</v>
      </c>
      <c r="BD136" t="s">
        <v>82</v>
      </c>
      <c r="BE136" t="s">
        <v>90</v>
      </c>
      <c r="BF136" t="s">
        <v>82</v>
      </c>
      <c r="BG136" t="s">
        <v>82</v>
      </c>
      <c r="BH136" t="s">
        <v>82</v>
      </c>
      <c r="BI136" t="s">
        <v>82</v>
      </c>
      <c r="BJ136" t="s">
        <v>82</v>
      </c>
      <c r="BK136" t="s">
        <v>82</v>
      </c>
      <c r="BL136" t="s">
        <v>90</v>
      </c>
      <c r="BM136" t="s">
        <v>139</v>
      </c>
      <c r="BN136" t="s">
        <v>1376</v>
      </c>
    </row>
    <row r="137" spans="1:66" x14ac:dyDescent="0.35">
      <c r="A137">
        <v>204155</v>
      </c>
      <c r="B137" t="s">
        <v>1377</v>
      </c>
      <c r="C137" t="s">
        <v>65</v>
      </c>
      <c r="D137" t="s">
        <v>66</v>
      </c>
      <c r="E137" t="s">
        <v>1378</v>
      </c>
      <c r="F137" t="s">
        <v>158</v>
      </c>
      <c r="G137" t="s">
        <v>69</v>
      </c>
      <c r="H137" t="s">
        <v>70</v>
      </c>
      <c r="I137" t="s">
        <v>1379</v>
      </c>
      <c r="J137" t="s">
        <v>1380</v>
      </c>
      <c r="K137" t="s">
        <v>1381</v>
      </c>
      <c r="L137" t="s">
        <v>1381</v>
      </c>
      <c r="M137" t="s">
        <v>1382</v>
      </c>
      <c r="N137" t="s">
        <v>1383</v>
      </c>
      <c r="O137" t="s">
        <v>77</v>
      </c>
      <c r="P137" s="2">
        <f t="shared" si="4"/>
        <v>12.766666666666667</v>
      </c>
      <c r="Q137" t="s">
        <v>515</v>
      </c>
      <c r="R137" s="2">
        <f t="shared" si="5"/>
        <v>3.089722222222222</v>
      </c>
      <c r="S137" t="s">
        <v>1384</v>
      </c>
      <c r="T137">
        <v>2</v>
      </c>
      <c r="U137">
        <v>1</v>
      </c>
      <c r="V137" t="s">
        <v>80</v>
      </c>
      <c r="W137" t="s">
        <v>80</v>
      </c>
      <c r="X137" t="s">
        <v>81</v>
      </c>
      <c r="Y137" t="s">
        <v>82</v>
      </c>
      <c r="Z137" t="s">
        <v>82</v>
      </c>
      <c r="AA137" t="s">
        <v>83</v>
      </c>
      <c r="AB137" t="s">
        <v>84</v>
      </c>
      <c r="AC137" t="s">
        <v>82</v>
      </c>
      <c r="AD137" t="s">
        <v>220</v>
      </c>
      <c r="AE137" t="s">
        <v>1385</v>
      </c>
      <c r="AF137" t="s">
        <v>82</v>
      </c>
      <c r="AG137" t="s">
        <v>87</v>
      </c>
      <c r="AH137" t="s">
        <v>1330</v>
      </c>
      <c r="AI137" t="s">
        <v>1386</v>
      </c>
      <c r="AJ137" t="s">
        <v>82</v>
      </c>
      <c r="AK137" t="s">
        <v>82</v>
      </c>
      <c r="AL137" t="s">
        <v>82</v>
      </c>
      <c r="AM137" t="s">
        <v>82</v>
      </c>
      <c r="AN137" t="s">
        <v>1387</v>
      </c>
      <c r="AO137" t="s">
        <v>82</v>
      </c>
      <c r="AP137" t="s">
        <v>82</v>
      </c>
      <c r="AQ137" t="s">
        <v>82</v>
      </c>
      <c r="AR137" t="s">
        <v>82</v>
      </c>
      <c r="AS137" t="s">
        <v>88</v>
      </c>
      <c r="AT137" t="s">
        <v>1330</v>
      </c>
      <c r="AU137" t="s">
        <v>6</v>
      </c>
      <c r="AV137" t="s">
        <v>90</v>
      </c>
      <c r="AW137" t="s">
        <v>90</v>
      </c>
      <c r="AX137" t="s">
        <v>82</v>
      </c>
      <c r="AY137" t="s">
        <v>82</v>
      </c>
      <c r="AZ137" t="s">
        <v>90</v>
      </c>
      <c r="BA137" t="s">
        <v>90</v>
      </c>
      <c r="BB137" t="s">
        <v>90</v>
      </c>
      <c r="BC137" t="s">
        <v>90</v>
      </c>
      <c r="BD137" t="s">
        <v>82</v>
      </c>
      <c r="BE137" t="s">
        <v>90</v>
      </c>
      <c r="BF137" t="s">
        <v>82</v>
      </c>
      <c r="BG137" t="s">
        <v>82</v>
      </c>
      <c r="BH137" t="s">
        <v>82</v>
      </c>
      <c r="BI137" t="s">
        <v>82</v>
      </c>
      <c r="BJ137" t="s">
        <v>82</v>
      </c>
      <c r="BK137" t="s">
        <v>82</v>
      </c>
      <c r="BL137" t="s">
        <v>90</v>
      </c>
      <c r="BM137" t="s">
        <v>1330</v>
      </c>
      <c r="BN137" t="s">
        <v>1332</v>
      </c>
    </row>
    <row r="138" spans="1:66" x14ac:dyDescent="0.35">
      <c r="A138">
        <v>204245</v>
      </c>
      <c r="B138" t="s">
        <v>1388</v>
      </c>
      <c r="C138" t="s">
        <v>65</v>
      </c>
      <c r="D138" t="s">
        <v>150</v>
      </c>
      <c r="E138" t="s">
        <v>67</v>
      </c>
      <c r="F138" t="s">
        <v>68</v>
      </c>
      <c r="G138" t="s">
        <v>69</v>
      </c>
      <c r="H138" t="s">
        <v>70</v>
      </c>
      <c r="I138" t="s">
        <v>1389</v>
      </c>
      <c r="J138" t="s">
        <v>1390</v>
      </c>
      <c r="K138" t="s">
        <v>1391</v>
      </c>
      <c r="L138" t="s">
        <v>1391</v>
      </c>
      <c r="M138" t="s">
        <v>1391</v>
      </c>
      <c r="N138" t="s">
        <v>1392</v>
      </c>
      <c r="O138" t="s">
        <v>77</v>
      </c>
      <c r="P138" s="2">
        <f t="shared" si="4"/>
        <v>31.083333333333329</v>
      </c>
      <c r="Q138" t="s">
        <v>1393</v>
      </c>
      <c r="R138" s="2">
        <f t="shared" si="5"/>
        <v>106.50305555555556</v>
      </c>
      <c r="S138" t="s">
        <v>1394</v>
      </c>
      <c r="T138">
        <v>7</v>
      </c>
      <c r="U138">
        <v>12</v>
      </c>
      <c r="V138" t="s">
        <v>240</v>
      </c>
      <c r="W138" t="s">
        <v>80</v>
      </c>
      <c r="X138" t="s">
        <v>1395</v>
      </c>
      <c r="Y138" t="s">
        <v>82</v>
      </c>
      <c r="Z138" t="s">
        <v>82</v>
      </c>
      <c r="AA138" t="s">
        <v>83</v>
      </c>
      <c r="AB138" t="s">
        <v>84</v>
      </c>
      <c r="AC138" t="s">
        <v>82</v>
      </c>
      <c r="AD138" t="s">
        <v>85</v>
      </c>
      <c r="AE138" t="s">
        <v>1396</v>
      </c>
      <c r="AF138" t="s">
        <v>727</v>
      </c>
      <c r="AG138" t="s">
        <v>87</v>
      </c>
      <c r="AH138" t="s">
        <v>82</v>
      </c>
      <c r="AI138" t="s">
        <v>1397</v>
      </c>
      <c r="AJ138" t="s">
        <v>82</v>
      </c>
      <c r="AK138" t="s">
        <v>82</v>
      </c>
      <c r="AL138" t="s">
        <v>82</v>
      </c>
      <c r="AM138" t="s">
        <v>82</v>
      </c>
      <c r="AN138" t="s">
        <v>82</v>
      </c>
      <c r="AO138" t="s">
        <v>82</v>
      </c>
      <c r="AP138" t="s">
        <v>82</v>
      </c>
      <c r="AQ138" t="s">
        <v>82</v>
      </c>
      <c r="AR138" t="s">
        <v>82</v>
      </c>
      <c r="AS138" t="s">
        <v>88</v>
      </c>
      <c r="AT138" t="s">
        <v>1398</v>
      </c>
      <c r="AU138" t="s">
        <v>106</v>
      </c>
      <c r="AV138" t="s">
        <v>90</v>
      </c>
      <c r="AW138" t="s">
        <v>90</v>
      </c>
      <c r="AX138" t="s">
        <v>82</v>
      </c>
      <c r="AY138" t="s">
        <v>82</v>
      </c>
      <c r="AZ138" t="s">
        <v>90</v>
      </c>
      <c r="BA138" t="s">
        <v>90</v>
      </c>
      <c r="BB138" t="s">
        <v>90</v>
      </c>
      <c r="BC138" t="s">
        <v>91</v>
      </c>
      <c r="BD138" t="s">
        <v>82</v>
      </c>
      <c r="BE138" t="s">
        <v>90</v>
      </c>
      <c r="BF138" t="s">
        <v>82</v>
      </c>
      <c r="BG138" t="s">
        <v>82</v>
      </c>
      <c r="BH138" t="s">
        <v>82</v>
      </c>
      <c r="BI138" t="s">
        <v>82</v>
      </c>
      <c r="BJ138" t="s">
        <v>82</v>
      </c>
      <c r="BK138" t="s">
        <v>82</v>
      </c>
      <c r="BL138" t="s">
        <v>90</v>
      </c>
      <c r="BM138" t="s">
        <v>1399</v>
      </c>
      <c r="BN138" t="s">
        <v>1400</v>
      </c>
    </row>
    <row r="139" spans="1:66" x14ac:dyDescent="0.35">
      <c r="A139">
        <v>204624</v>
      </c>
      <c r="B139" t="s">
        <v>1401</v>
      </c>
      <c r="C139" t="s">
        <v>65</v>
      </c>
      <c r="D139" t="s">
        <v>66</v>
      </c>
      <c r="E139" t="s">
        <v>67</v>
      </c>
      <c r="F139" t="s">
        <v>123</v>
      </c>
      <c r="G139" t="s">
        <v>69</v>
      </c>
      <c r="H139" t="s">
        <v>70</v>
      </c>
      <c r="I139" t="s">
        <v>1402</v>
      </c>
      <c r="J139" t="s">
        <v>1403</v>
      </c>
      <c r="K139" t="s">
        <v>1402</v>
      </c>
      <c r="L139" t="s">
        <v>1402</v>
      </c>
      <c r="M139" t="s">
        <v>1404</v>
      </c>
      <c r="N139" t="s">
        <v>82</v>
      </c>
      <c r="O139" t="s">
        <v>77</v>
      </c>
      <c r="P139" s="2">
        <f t="shared" si="4"/>
        <v>0</v>
      </c>
      <c r="Q139" t="s">
        <v>78</v>
      </c>
      <c r="R139" s="2">
        <f t="shared" si="5"/>
        <v>0</v>
      </c>
      <c r="S139" t="s">
        <v>78</v>
      </c>
      <c r="T139">
        <v>0</v>
      </c>
      <c r="U139">
        <v>1</v>
      </c>
      <c r="V139" t="s">
        <v>80</v>
      </c>
      <c r="W139" t="s">
        <v>82</v>
      </c>
      <c r="X139" t="s">
        <v>81</v>
      </c>
      <c r="Y139" t="s">
        <v>82</v>
      </c>
      <c r="Z139" t="s">
        <v>82</v>
      </c>
      <c r="AA139" t="s">
        <v>83</v>
      </c>
      <c r="AB139" t="s">
        <v>84</v>
      </c>
      <c r="AC139" t="s">
        <v>82</v>
      </c>
      <c r="AD139" t="s">
        <v>85</v>
      </c>
      <c r="AE139" t="s">
        <v>82</v>
      </c>
      <c r="AF139" t="s">
        <v>82</v>
      </c>
      <c r="AG139" t="s">
        <v>82</v>
      </c>
      <c r="AH139" t="s">
        <v>82</v>
      </c>
      <c r="AI139" t="s">
        <v>82</v>
      </c>
      <c r="AJ139" t="s">
        <v>82</v>
      </c>
      <c r="AK139" t="s">
        <v>82</v>
      </c>
      <c r="AL139" t="s">
        <v>82</v>
      </c>
      <c r="AM139" t="s">
        <v>82</v>
      </c>
      <c r="AN139" t="s">
        <v>82</v>
      </c>
      <c r="AO139" t="s">
        <v>82</v>
      </c>
      <c r="AP139" t="s">
        <v>82</v>
      </c>
      <c r="AQ139" t="s">
        <v>82</v>
      </c>
      <c r="AR139" t="s">
        <v>82</v>
      </c>
      <c r="AS139" t="s">
        <v>82</v>
      </c>
      <c r="AT139" t="s">
        <v>82</v>
      </c>
      <c r="AU139" t="s">
        <v>82</v>
      </c>
      <c r="AV139" t="s">
        <v>90</v>
      </c>
      <c r="AW139" t="s">
        <v>90</v>
      </c>
      <c r="AX139" t="s">
        <v>82</v>
      </c>
      <c r="AY139" t="s">
        <v>82</v>
      </c>
      <c r="AZ139" t="s">
        <v>90</v>
      </c>
      <c r="BA139" t="s">
        <v>90</v>
      </c>
      <c r="BB139" t="s">
        <v>90</v>
      </c>
      <c r="BC139" t="s">
        <v>90</v>
      </c>
      <c r="BD139" t="s">
        <v>82</v>
      </c>
      <c r="BE139" t="s">
        <v>90</v>
      </c>
      <c r="BF139" t="s">
        <v>82</v>
      </c>
      <c r="BG139" t="s">
        <v>82</v>
      </c>
      <c r="BH139" t="s">
        <v>82</v>
      </c>
      <c r="BI139" t="s">
        <v>82</v>
      </c>
      <c r="BJ139" t="s">
        <v>82</v>
      </c>
      <c r="BK139" t="s">
        <v>82</v>
      </c>
      <c r="BL139" t="s">
        <v>90</v>
      </c>
      <c r="BM139" t="s">
        <v>770</v>
      </c>
      <c r="BN139" t="s">
        <v>771</v>
      </c>
    </row>
    <row r="140" spans="1:66" x14ac:dyDescent="0.35">
      <c r="A140">
        <v>205659</v>
      </c>
      <c r="B140" t="s">
        <v>1405</v>
      </c>
      <c r="C140" t="s">
        <v>65</v>
      </c>
      <c r="D140" t="s">
        <v>66</v>
      </c>
      <c r="E140" t="s">
        <v>67</v>
      </c>
      <c r="F140" t="s">
        <v>82</v>
      </c>
      <c r="G140" t="s">
        <v>69</v>
      </c>
      <c r="H140" t="s">
        <v>70</v>
      </c>
      <c r="I140" t="s">
        <v>1406</v>
      </c>
      <c r="J140" t="s">
        <v>1407</v>
      </c>
      <c r="K140" t="s">
        <v>1408</v>
      </c>
      <c r="L140" t="s">
        <v>1409</v>
      </c>
      <c r="M140" t="s">
        <v>1410</v>
      </c>
      <c r="N140" t="s">
        <v>1411</v>
      </c>
      <c r="O140" t="s">
        <v>77</v>
      </c>
      <c r="P140" s="2">
        <f t="shared" si="4"/>
        <v>2.1</v>
      </c>
      <c r="Q140" t="s">
        <v>1412</v>
      </c>
      <c r="R140" s="2">
        <f t="shared" si="5"/>
        <v>24</v>
      </c>
      <c r="S140" t="s">
        <v>1413</v>
      </c>
      <c r="T140">
        <v>1</v>
      </c>
      <c r="U140">
        <v>1</v>
      </c>
      <c r="V140" t="s">
        <v>80</v>
      </c>
      <c r="W140" t="s">
        <v>80</v>
      </c>
      <c r="X140" t="s">
        <v>81</v>
      </c>
      <c r="Y140" t="s">
        <v>82</v>
      </c>
      <c r="Z140" t="s">
        <v>82</v>
      </c>
      <c r="AA140" t="s">
        <v>83</v>
      </c>
      <c r="AB140" t="s">
        <v>84</v>
      </c>
      <c r="AC140" t="s">
        <v>82</v>
      </c>
      <c r="AD140" t="s">
        <v>85</v>
      </c>
      <c r="AE140" t="s">
        <v>1414</v>
      </c>
      <c r="AF140" t="s">
        <v>82</v>
      </c>
      <c r="AG140" t="s">
        <v>87</v>
      </c>
      <c r="AH140" t="s">
        <v>1414</v>
      </c>
      <c r="AI140" t="s">
        <v>1415</v>
      </c>
      <c r="AJ140" t="s">
        <v>82</v>
      </c>
      <c r="AK140" t="s">
        <v>82</v>
      </c>
      <c r="AL140" t="s">
        <v>82</v>
      </c>
      <c r="AM140" t="s">
        <v>82</v>
      </c>
      <c r="AN140" t="s">
        <v>82</v>
      </c>
      <c r="AO140" t="s">
        <v>82</v>
      </c>
      <c r="AP140" t="s">
        <v>82</v>
      </c>
      <c r="AQ140" t="s">
        <v>82</v>
      </c>
      <c r="AR140" t="s">
        <v>82</v>
      </c>
      <c r="AS140" t="s">
        <v>88</v>
      </c>
      <c r="AT140" t="s">
        <v>1414</v>
      </c>
      <c r="AU140" t="s">
        <v>6</v>
      </c>
      <c r="AV140" t="s">
        <v>90</v>
      </c>
      <c r="AW140" t="s">
        <v>91</v>
      </c>
      <c r="AX140" t="s">
        <v>82</v>
      </c>
      <c r="AY140" t="s">
        <v>82</v>
      </c>
      <c r="AZ140" t="s">
        <v>90</v>
      </c>
      <c r="BA140" t="s">
        <v>90</v>
      </c>
      <c r="BB140" t="s">
        <v>91</v>
      </c>
      <c r="BC140" t="s">
        <v>91</v>
      </c>
      <c r="BD140" t="s">
        <v>82</v>
      </c>
      <c r="BE140" t="s">
        <v>90</v>
      </c>
      <c r="BF140" t="s">
        <v>82</v>
      </c>
      <c r="BG140" t="s">
        <v>82</v>
      </c>
      <c r="BH140" t="s">
        <v>82</v>
      </c>
      <c r="BI140" t="s">
        <v>82</v>
      </c>
      <c r="BJ140" t="s">
        <v>82</v>
      </c>
      <c r="BK140" t="s">
        <v>82</v>
      </c>
      <c r="BL140" t="s">
        <v>90</v>
      </c>
      <c r="BM140" t="s">
        <v>1414</v>
      </c>
      <c r="BN140" t="s">
        <v>1416</v>
      </c>
    </row>
    <row r="141" spans="1:66" x14ac:dyDescent="0.35">
      <c r="A141">
        <v>205682</v>
      </c>
      <c r="B141" t="s">
        <v>1417</v>
      </c>
      <c r="C141" t="s">
        <v>65</v>
      </c>
      <c r="D141" t="s">
        <v>66</v>
      </c>
      <c r="E141" t="s">
        <v>67</v>
      </c>
      <c r="F141" t="s">
        <v>123</v>
      </c>
      <c r="G141" t="s">
        <v>69</v>
      </c>
      <c r="H141" t="s">
        <v>70</v>
      </c>
      <c r="I141" t="s">
        <v>1418</v>
      </c>
      <c r="J141" t="s">
        <v>1419</v>
      </c>
      <c r="K141" t="s">
        <v>1420</v>
      </c>
      <c r="L141" t="s">
        <v>1420</v>
      </c>
      <c r="M141" t="s">
        <v>1421</v>
      </c>
      <c r="N141" t="s">
        <v>82</v>
      </c>
      <c r="O141" t="s">
        <v>77</v>
      </c>
      <c r="P141" s="2">
        <f t="shared" si="4"/>
        <v>0</v>
      </c>
      <c r="Q141" t="s">
        <v>78</v>
      </c>
      <c r="R141" s="2">
        <f t="shared" si="5"/>
        <v>7.5277777777777777E-2</v>
      </c>
      <c r="S141" t="s">
        <v>1422</v>
      </c>
      <c r="T141">
        <v>0</v>
      </c>
      <c r="U141">
        <v>1</v>
      </c>
      <c r="V141" t="s">
        <v>80</v>
      </c>
      <c r="W141" t="s">
        <v>82</v>
      </c>
      <c r="X141" t="s">
        <v>81</v>
      </c>
      <c r="Y141" t="s">
        <v>82</v>
      </c>
      <c r="Z141" t="s">
        <v>82</v>
      </c>
      <c r="AA141" t="s">
        <v>83</v>
      </c>
      <c r="AB141" t="s">
        <v>84</v>
      </c>
      <c r="AC141" t="s">
        <v>82</v>
      </c>
      <c r="AD141" t="s">
        <v>85</v>
      </c>
      <c r="AE141" t="s">
        <v>82</v>
      </c>
      <c r="AF141" t="s">
        <v>82</v>
      </c>
      <c r="AG141" t="s">
        <v>87</v>
      </c>
      <c r="AH141" t="s">
        <v>82</v>
      </c>
      <c r="AI141" t="s">
        <v>129</v>
      </c>
      <c r="AJ141" t="s">
        <v>82</v>
      </c>
      <c r="AK141" t="s">
        <v>82</v>
      </c>
      <c r="AL141" t="s">
        <v>82</v>
      </c>
      <c r="AM141" t="s">
        <v>82</v>
      </c>
      <c r="AN141" t="s">
        <v>82</v>
      </c>
      <c r="AO141" t="s">
        <v>82</v>
      </c>
      <c r="AP141" t="s">
        <v>82</v>
      </c>
      <c r="AQ141" t="s">
        <v>82</v>
      </c>
      <c r="AR141" t="s">
        <v>82</v>
      </c>
      <c r="AS141" t="s">
        <v>130</v>
      </c>
      <c r="AT141" t="s">
        <v>129</v>
      </c>
      <c r="AU141" t="s">
        <v>82</v>
      </c>
      <c r="AV141" t="s">
        <v>90</v>
      </c>
      <c r="AW141" t="s">
        <v>90</v>
      </c>
      <c r="AX141" t="s">
        <v>82</v>
      </c>
      <c r="AY141" t="s">
        <v>82</v>
      </c>
      <c r="AZ141" t="s">
        <v>90</v>
      </c>
      <c r="BA141" t="s">
        <v>90</v>
      </c>
      <c r="BB141" t="s">
        <v>90</v>
      </c>
      <c r="BC141" t="s">
        <v>90</v>
      </c>
      <c r="BD141" t="s">
        <v>82</v>
      </c>
      <c r="BE141" t="s">
        <v>90</v>
      </c>
      <c r="BF141" t="s">
        <v>82</v>
      </c>
      <c r="BG141" t="s">
        <v>82</v>
      </c>
      <c r="BH141" t="s">
        <v>82</v>
      </c>
      <c r="BI141" t="s">
        <v>82</v>
      </c>
      <c r="BJ141" t="s">
        <v>82</v>
      </c>
      <c r="BK141" t="s">
        <v>82</v>
      </c>
      <c r="BL141" t="s">
        <v>90</v>
      </c>
      <c r="BM141" t="s">
        <v>139</v>
      </c>
      <c r="BN141" t="s">
        <v>1423</v>
      </c>
    </row>
    <row r="142" spans="1:66" x14ac:dyDescent="0.35">
      <c r="A142">
        <v>206182</v>
      </c>
      <c r="B142" t="s">
        <v>1424</v>
      </c>
      <c r="C142" t="s">
        <v>65</v>
      </c>
      <c r="D142" t="s">
        <v>150</v>
      </c>
      <c r="E142" t="s">
        <v>67</v>
      </c>
      <c r="F142" t="s">
        <v>68</v>
      </c>
      <c r="G142" t="s">
        <v>69</v>
      </c>
      <c r="H142" t="s">
        <v>70</v>
      </c>
      <c r="I142" t="s">
        <v>1425</v>
      </c>
      <c r="J142" t="s">
        <v>1426</v>
      </c>
      <c r="K142" t="s">
        <v>1427</v>
      </c>
      <c r="L142" t="s">
        <v>1427</v>
      </c>
      <c r="M142" t="s">
        <v>1428</v>
      </c>
      <c r="N142" t="s">
        <v>1429</v>
      </c>
      <c r="O142" t="s">
        <v>77</v>
      </c>
      <c r="P142" s="2">
        <f t="shared" si="4"/>
        <v>26.916666666666668</v>
      </c>
      <c r="Q142" t="s">
        <v>1430</v>
      </c>
      <c r="R142" s="2">
        <f t="shared" si="5"/>
        <v>6.6786111111111115</v>
      </c>
      <c r="S142" t="s">
        <v>1431</v>
      </c>
      <c r="T142">
        <v>1</v>
      </c>
      <c r="U142">
        <v>2</v>
      </c>
      <c r="V142" t="s">
        <v>80</v>
      </c>
      <c r="W142" t="s">
        <v>80</v>
      </c>
      <c r="X142" t="s">
        <v>241</v>
      </c>
      <c r="Y142" t="s">
        <v>82</v>
      </c>
      <c r="Z142" t="s">
        <v>82</v>
      </c>
      <c r="AA142" t="s">
        <v>83</v>
      </c>
      <c r="AB142" t="s">
        <v>84</v>
      </c>
      <c r="AC142" t="s">
        <v>82</v>
      </c>
      <c r="AD142" t="s">
        <v>85</v>
      </c>
      <c r="AE142" t="s">
        <v>82</v>
      </c>
      <c r="AF142" t="s">
        <v>727</v>
      </c>
      <c r="AG142" t="s">
        <v>87</v>
      </c>
      <c r="AH142" t="s">
        <v>1432</v>
      </c>
      <c r="AI142" t="s">
        <v>1433</v>
      </c>
      <c r="AJ142" t="s">
        <v>82</v>
      </c>
      <c r="AK142" t="s">
        <v>82</v>
      </c>
      <c r="AL142" t="s">
        <v>82</v>
      </c>
      <c r="AM142" t="s">
        <v>82</v>
      </c>
      <c r="AN142" t="s">
        <v>82</v>
      </c>
      <c r="AO142" t="s">
        <v>82</v>
      </c>
      <c r="AP142" t="s">
        <v>82</v>
      </c>
      <c r="AQ142" t="s">
        <v>82</v>
      </c>
      <c r="AR142" t="s">
        <v>82</v>
      </c>
      <c r="AS142" t="s">
        <v>88</v>
      </c>
      <c r="AT142" t="s">
        <v>1432</v>
      </c>
      <c r="AU142" t="s">
        <v>6</v>
      </c>
      <c r="AV142" t="s">
        <v>90</v>
      </c>
      <c r="AW142" t="s">
        <v>90</v>
      </c>
      <c r="AX142" t="s">
        <v>82</v>
      </c>
      <c r="AY142" t="s">
        <v>82</v>
      </c>
      <c r="AZ142" t="s">
        <v>90</v>
      </c>
      <c r="BA142" t="s">
        <v>90</v>
      </c>
      <c r="BB142" t="s">
        <v>90</v>
      </c>
      <c r="BC142" t="s">
        <v>90</v>
      </c>
      <c r="BD142" t="s">
        <v>82</v>
      </c>
      <c r="BE142" t="s">
        <v>90</v>
      </c>
      <c r="BF142" t="s">
        <v>82</v>
      </c>
      <c r="BG142" t="s">
        <v>82</v>
      </c>
      <c r="BH142" t="s">
        <v>82</v>
      </c>
      <c r="BI142" t="s">
        <v>82</v>
      </c>
      <c r="BJ142" t="s">
        <v>82</v>
      </c>
      <c r="BK142" t="s">
        <v>82</v>
      </c>
      <c r="BL142" t="s">
        <v>90</v>
      </c>
      <c r="BM142" t="s">
        <v>1434</v>
      </c>
      <c r="BN142" t="s">
        <v>1435</v>
      </c>
    </row>
    <row r="143" spans="1:66" x14ac:dyDescent="0.35">
      <c r="A143">
        <v>206640</v>
      </c>
      <c r="B143" t="s">
        <v>1333</v>
      </c>
      <c r="C143" t="s">
        <v>65</v>
      </c>
      <c r="D143" t="s">
        <v>66</v>
      </c>
      <c r="E143" t="s">
        <v>67</v>
      </c>
      <c r="F143" t="s">
        <v>123</v>
      </c>
      <c r="G143" t="s">
        <v>69</v>
      </c>
      <c r="H143" t="s">
        <v>70</v>
      </c>
      <c r="I143" t="s">
        <v>1436</v>
      </c>
      <c r="J143" t="s">
        <v>1437</v>
      </c>
      <c r="K143" t="s">
        <v>1438</v>
      </c>
      <c r="L143" t="s">
        <v>1438</v>
      </c>
      <c r="M143" t="s">
        <v>1439</v>
      </c>
      <c r="N143" t="s">
        <v>82</v>
      </c>
      <c r="O143" t="s">
        <v>77</v>
      </c>
      <c r="P143" s="2">
        <f t="shared" si="4"/>
        <v>0</v>
      </c>
      <c r="Q143" t="s">
        <v>78</v>
      </c>
      <c r="R143" s="2">
        <f t="shared" si="5"/>
        <v>1.0277777777777778E-2</v>
      </c>
      <c r="S143" t="s">
        <v>1440</v>
      </c>
      <c r="T143">
        <v>0</v>
      </c>
      <c r="U143">
        <v>1</v>
      </c>
      <c r="V143" t="s">
        <v>80</v>
      </c>
      <c r="W143" t="s">
        <v>82</v>
      </c>
      <c r="X143" t="s">
        <v>81</v>
      </c>
      <c r="Y143" t="s">
        <v>82</v>
      </c>
      <c r="Z143" t="s">
        <v>82</v>
      </c>
      <c r="AA143" t="s">
        <v>83</v>
      </c>
      <c r="AB143" t="s">
        <v>84</v>
      </c>
      <c r="AC143" t="s">
        <v>82</v>
      </c>
      <c r="AD143" t="s">
        <v>85</v>
      </c>
      <c r="AE143" t="s">
        <v>82</v>
      </c>
      <c r="AF143" t="s">
        <v>82</v>
      </c>
      <c r="AG143" t="s">
        <v>87</v>
      </c>
      <c r="AH143" t="s">
        <v>82</v>
      </c>
      <c r="AI143" t="s">
        <v>129</v>
      </c>
      <c r="AJ143" t="s">
        <v>82</v>
      </c>
      <c r="AK143" t="s">
        <v>82</v>
      </c>
      <c r="AL143" t="s">
        <v>82</v>
      </c>
      <c r="AM143" t="s">
        <v>82</v>
      </c>
      <c r="AN143" t="s">
        <v>82</v>
      </c>
      <c r="AO143" t="s">
        <v>82</v>
      </c>
      <c r="AP143" t="s">
        <v>82</v>
      </c>
      <c r="AQ143" t="s">
        <v>82</v>
      </c>
      <c r="AR143" t="s">
        <v>82</v>
      </c>
      <c r="AS143" t="s">
        <v>130</v>
      </c>
      <c r="AT143" t="s">
        <v>129</v>
      </c>
      <c r="AU143" t="s">
        <v>82</v>
      </c>
      <c r="AV143" t="s">
        <v>90</v>
      </c>
      <c r="AW143" t="s">
        <v>90</v>
      </c>
      <c r="AX143" t="s">
        <v>82</v>
      </c>
      <c r="AY143" t="s">
        <v>82</v>
      </c>
      <c r="AZ143" t="s">
        <v>90</v>
      </c>
      <c r="BA143" t="s">
        <v>90</v>
      </c>
      <c r="BB143" t="s">
        <v>90</v>
      </c>
      <c r="BC143" t="s">
        <v>90</v>
      </c>
      <c r="BD143" t="s">
        <v>82</v>
      </c>
      <c r="BE143" t="s">
        <v>90</v>
      </c>
      <c r="BF143" t="s">
        <v>82</v>
      </c>
      <c r="BG143" t="s">
        <v>82</v>
      </c>
      <c r="BH143" t="s">
        <v>82</v>
      </c>
      <c r="BI143" t="s">
        <v>82</v>
      </c>
      <c r="BJ143" t="s">
        <v>82</v>
      </c>
      <c r="BK143" t="s">
        <v>82</v>
      </c>
      <c r="BL143" t="s">
        <v>90</v>
      </c>
      <c r="BM143" t="s">
        <v>139</v>
      </c>
      <c r="BN143" t="s">
        <v>1441</v>
      </c>
    </row>
    <row r="144" spans="1:66" x14ac:dyDescent="0.35">
      <c r="A144">
        <v>207017</v>
      </c>
      <c r="B144" t="s">
        <v>1442</v>
      </c>
      <c r="C144" t="s">
        <v>65</v>
      </c>
      <c r="D144" t="s">
        <v>66</v>
      </c>
      <c r="E144" t="s">
        <v>67</v>
      </c>
      <c r="F144" t="s">
        <v>87</v>
      </c>
      <c r="G144" t="s">
        <v>69</v>
      </c>
      <c r="H144" t="s">
        <v>70</v>
      </c>
      <c r="I144" t="s">
        <v>1443</v>
      </c>
      <c r="J144" t="s">
        <v>1444</v>
      </c>
      <c r="K144" t="s">
        <v>1445</v>
      </c>
      <c r="L144" t="s">
        <v>1445</v>
      </c>
      <c r="M144" t="s">
        <v>1446</v>
      </c>
      <c r="N144" t="s">
        <v>1447</v>
      </c>
      <c r="O144" t="s">
        <v>77</v>
      </c>
      <c r="P144" s="2">
        <f t="shared" si="4"/>
        <v>52.733333333333334</v>
      </c>
      <c r="Q144" t="s">
        <v>1448</v>
      </c>
      <c r="R144" s="2">
        <f t="shared" si="5"/>
        <v>10.963333333333333</v>
      </c>
      <c r="S144" t="s">
        <v>1449</v>
      </c>
      <c r="T144">
        <v>1</v>
      </c>
      <c r="U144">
        <v>1</v>
      </c>
      <c r="V144" t="s">
        <v>80</v>
      </c>
      <c r="W144" t="s">
        <v>80</v>
      </c>
      <c r="X144" t="s">
        <v>81</v>
      </c>
      <c r="Y144" t="s">
        <v>82</v>
      </c>
      <c r="Z144" t="s">
        <v>82</v>
      </c>
      <c r="AA144" t="s">
        <v>83</v>
      </c>
      <c r="AB144" t="s">
        <v>84</v>
      </c>
      <c r="AC144" t="s">
        <v>82</v>
      </c>
      <c r="AD144" t="s">
        <v>220</v>
      </c>
      <c r="AE144" t="s">
        <v>1450</v>
      </c>
      <c r="AF144" t="s">
        <v>82</v>
      </c>
      <c r="AG144" t="s">
        <v>87</v>
      </c>
      <c r="AH144" t="s">
        <v>1451</v>
      </c>
      <c r="AI144" t="s">
        <v>1452</v>
      </c>
      <c r="AJ144" t="s">
        <v>82</v>
      </c>
      <c r="AK144" t="s">
        <v>82</v>
      </c>
      <c r="AL144" t="s">
        <v>82</v>
      </c>
      <c r="AM144" t="s">
        <v>82</v>
      </c>
      <c r="AN144" t="s">
        <v>82</v>
      </c>
      <c r="AO144" t="s">
        <v>82</v>
      </c>
      <c r="AP144" t="s">
        <v>82</v>
      </c>
      <c r="AQ144" t="s">
        <v>82</v>
      </c>
      <c r="AR144" t="s">
        <v>82</v>
      </c>
      <c r="AS144" t="s">
        <v>88</v>
      </c>
      <c r="AT144" t="s">
        <v>1451</v>
      </c>
      <c r="AU144" t="s">
        <v>6</v>
      </c>
      <c r="AV144" t="s">
        <v>90</v>
      </c>
      <c r="AW144" t="s">
        <v>90</v>
      </c>
      <c r="AX144" t="s">
        <v>82</v>
      </c>
      <c r="AY144" t="s">
        <v>82</v>
      </c>
      <c r="AZ144" t="s">
        <v>90</v>
      </c>
      <c r="BA144" t="s">
        <v>90</v>
      </c>
      <c r="BB144" t="s">
        <v>90</v>
      </c>
      <c r="BC144" t="s">
        <v>90</v>
      </c>
      <c r="BD144" t="s">
        <v>1453</v>
      </c>
      <c r="BE144" t="s">
        <v>90</v>
      </c>
      <c r="BF144" t="s">
        <v>82</v>
      </c>
      <c r="BG144" t="s">
        <v>82</v>
      </c>
      <c r="BH144" t="s">
        <v>82</v>
      </c>
      <c r="BI144" t="s">
        <v>82</v>
      </c>
      <c r="BJ144" t="s">
        <v>82</v>
      </c>
      <c r="BK144" t="s">
        <v>82</v>
      </c>
      <c r="BL144" t="s">
        <v>90</v>
      </c>
      <c r="BM144" t="s">
        <v>1454</v>
      </c>
      <c r="BN144" t="s">
        <v>1455</v>
      </c>
    </row>
    <row r="145" spans="1:66" x14ac:dyDescent="0.35">
      <c r="A145">
        <v>207154</v>
      </c>
      <c r="B145" t="s">
        <v>1456</v>
      </c>
      <c r="C145" t="s">
        <v>65</v>
      </c>
      <c r="D145" t="s">
        <v>66</v>
      </c>
      <c r="E145" t="s">
        <v>67</v>
      </c>
      <c r="F145" t="s">
        <v>158</v>
      </c>
      <c r="G145" t="s">
        <v>69</v>
      </c>
      <c r="H145" t="s">
        <v>70</v>
      </c>
      <c r="I145" t="s">
        <v>1457</v>
      </c>
      <c r="J145" t="s">
        <v>1458</v>
      </c>
      <c r="K145" t="s">
        <v>1459</v>
      </c>
      <c r="L145" t="s">
        <v>1459</v>
      </c>
      <c r="M145" t="s">
        <v>1459</v>
      </c>
      <c r="N145" t="s">
        <v>1460</v>
      </c>
      <c r="O145" t="s">
        <v>77</v>
      </c>
      <c r="P145" s="2">
        <f t="shared" si="4"/>
        <v>27.7</v>
      </c>
      <c r="Q145" t="s">
        <v>1461</v>
      </c>
      <c r="R145" s="2">
        <f t="shared" si="5"/>
        <v>12.255555555555556</v>
      </c>
      <c r="S145" t="s">
        <v>1462</v>
      </c>
      <c r="T145">
        <v>4</v>
      </c>
      <c r="U145">
        <v>6</v>
      </c>
      <c r="V145" t="s">
        <v>80</v>
      </c>
      <c r="W145" t="s">
        <v>80</v>
      </c>
      <c r="X145" t="s">
        <v>82</v>
      </c>
      <c r="Y145" t="s">
        <v>82</v>
      </c>
      <c r="Z145" t="s">
        <v>82</v>
      </c>
      <c r="AA145" t="s">
        <v>83</v>
      </c>
      <c r="AB145" t="s">
        <v>84</v>
      </c>
      <c r="AC145" t="s">
        <v>82</v>
      </c>
      <c r="AD145" t="s">
        <v>85</v>
      </c>
      <c r="AE145" t="s">
        <v>1330</v>
      </c>
      <c r="AF145" t="s">
        <v>82</v>
      </c>
      <c r="AG145" t="s">
        <v>87</v>
      </c>
      <c r="AH145" t="s">
        <v>1330</v>
      </c>
      <c r="AI145" t="s">
        <v>1386</v>
      </c>
      <c r="AJ145" t="s">
        <v>82</v>
      </c>
      <c r="AK145" t="s">
        <v>82</v>
      </c>
      <c r="AL145" t="s">
        <v>82</v>
      </c>
      <c r="AM145" t="s">
        <v>82</v>
      </c>
      <c r="AN145" t="s">
        <v>169</v>
      </c>
      <c r="AO145" t="s">
        <v>82</v>
      </c>
      <c r="AP145" t="s">
        <v>82</v>
      </c>
      <c r="AQ145" t="s">
        <v>82</v>
      </c>
      <c r="AR145" t="s">
        <v>82</v>
      </c>
      <c r="AS145" t="s">
        <v>88</v>
      </c>
      <c r="AT145" t="s">
        <v>1330</v>
      </c>
      <c r="AU145" t="s">
        <v>106</v>
      </c>
      <c r="AV145" t="s">
        <v>90</v>
      </c>
      <c r="AW145" t="s">
        <v>90</v>
      </c>
      <c r="AX145" t="s">
        <v>82</v>
      </c>
      <c r="AY145" t="s">
        <v>82</v>
      </c>
      <c r="AZ145" t="s">
        <v>90</v>
      </c>
      <c r="BA145" t="s">
        <v>90</v>
      </c>
      <c r="BB145" t="s">
        <v>90</v>
      </c>
      <c r="BC145" t="s">
        <v>90</v>
      </c>
      <c r="BD145" t="s">
        <v>82</v>
      </c>
      <c r="BE145" t="s">
        <v>90</v>
      </c>
      <c r="BF145" t="s">
        <v>82</v>
      </c>
      <c r="BG145" t="s">
        <v>82</v>
      </c>
      <c r="BH145" t="s">
        <v>82</v>
      </c>
      <c r="BI145" t="s">
        <v>82</v>
      </c>
      <c r="BJ145" t="s">
        <v>82</v>
      </c>
      <c r="BK145" t="s">
        <v>82</v>
      </c>
      <c r="BL145" t="s">
        <v>90</v>
      </c>
      <c r="BM145" t="s">
        <v>1330</v>
      </c>
      <c r="BN145" t="s">
        <v>1332</v>
      </c>
    </row>
    <row r="146" spans="1:66" x14ac:dyDescent="0.35">
      <c r="A146">
        <v>207335</v>
      </c>
      <c r="B146" t="s">
        <v>1463</v>
      </c>
      <c r="C146" t="s">
        <v>65</v>
      </c>
      <c r="D146" t="s">
        <v>66</v>
      </c>
      <c r="E146" t="s">
        <v>67</v>
      </c>
      <c r="F146" t="s">
        <v>158</v>
      </c>
      <c r="G146" t="s">
        <v>69</v>
      </c>
      <c r="H146" t="s">
        <v>70</v>
      </c>
      <c r="I146" t="s">
        <v>1464</v>
      </c>
      <c r="J146" t="s">
        <v>1465</v>
      </c>
      <c r="K146" t="s">
        <v>1466</v>
      </c>
      <c r="L146" t="s">
        <v>1466</v>
      </c>
      <c r="M146" t="s">
        <v>1467</v>
      </c>
      <c r="N146" t="s">
        <v>1468</v>
      </c>
      <c r="O146" t="s">
        <v>77</v>
      </c>
      <c r="P146" s="2">
        <f t="shared" si="4"/>
        <v>41.866666666666667</v>
      </c>
      <c r="Q146" t="s">
        <v>1469</v>
      </c>
      <c r="R146" s="2">
        <f t="shared" si="5"/>
        <v>4.578611111111111</v>
      </c>
      <c r="S146" t="s">
        <v>1470</v>
      </c>
      <c r="T146">
        <v>3</v>
      </c>
      <c r="U146">
        <v>2</v>
      </c>
      <c r="V146" t="s">
        <v>80</v>
      </c>
      <c r="W146" t="s">
        <v>80</v>
      </c>
      <c r="X146" t="s">
        <v>81</v>
      </c>
      <c r="Y146" t="s">
        <v>82</v>
      </c>
      <c r="Z146" t="s">
        <v>82</v>
      </c>
      <c r="AA146" t="s">
        <v>83</v>
      </c>
      <c r="AB146" t="s">
        <v>84</v>
      </c>
      <c r="AC146" t="s">
        <v>82</v>
      </c>
      <c r="AD146" t="s">
        <v>85</v>
      </c>
      <c r="AE146" t="s">
        <v>82</v>
      </c>
      <c r="AF146" t="s">
        <v>82</v>
      </c>
      <c r="AG146" t="s">
        <v>87</v>
      </c>
      <c r="AH146" t="s">
        <v>1471</v>
      </c>
      <c r="AI146" t="s">
        <v>1471</v>
      </c>
      <c r="AJ146" t="s">
        <v>82</v>
      </c>
      <c r="AK146" t="s">
        <v>82</v>
      </c>
      <c r="AL146" t="s">
        <v>82</v>
      </c>
      <c r="AM146" t="s">
        <v>82</v>
      </c>
      <c r="AN146" t="s">
        <v>169</v>
      </c>
      <c r="AO146" t="s">
        <v>82</v>
      </c>
      <c r="AP146" t="s">
        <v>82</v>
      </c>
      <c r="AQ146" t="s">
        <v>82</v>
      </c>
      <c r="AR146" t="s">
        <v>82</v>
      </c>
      <c r="AS146" t="s">
        <v>88</v>
      </c>
      <c r="AT146" t="s">
        <v>1471</v>
      </c>
      <c r="AU146" t="s">
        <v>106</v>
      </c>
      <c r="AV146" t="s">
        <v>90</v>
      </c>
      <c r="AW146" t="s">
        <v>90</v>
      </c>
      <c r="AX146" t="s">
        <v>82</v>
      </c>
      <c r="AY146" t="s">
        <v>82</v>
      </c>
      <c r="AZ146" t="s">
        <v>90</v>
      </c>
      <c r="BA146" t="s">
        <v>90</v>
      </c>
      <c r="BB146" t="s">
        <v>90</v>
      </c>
      <c r="BC146" t="s">
        <v>90</v>
      </c>
      <c r="BD146" t="s">
        <v>82</v>
      </c>
      <c r="BE146" t="s">
        <v>90</v>
      </c>
      <c r="BF146" t="s">
        <v>82</v>
      </c>
      <c r="BG146" t="s">
        <v>82</v>
      </c>
      <c r="BH146" t="s">
        <v>82</v>
      </c>
      <c r="BI146" t="s">
        <v>82</v>
      </c>
      <c r="BJ146" t="s">
        <v>82</v>
      </c>
      <c r="BK146" t="s">
        <v>82</v>
      </c>
      <c r="BL146" t="s">
        <v>90</v>
      </c>
      <c r="BM146" t="s">
        <v>1472</v>
      </c>
      <c r="BN146" t="s">
        <v>1473</v>
      </c>
    </row>
    <row r="147" spans="1:66" x14ac:dyDescent="0.35">
      <c r="A147">
        <v>207482</v>
      </c>
      <c r="B147" t="s">
        <v>1474</v>
      </c>
      <c r="C147" t="s">
        <v>65</v>
      </c>
      <c r="D147" t="s">
        <v>66</v>
      </c>
      <c r="E147" t="s">
        <v>67</v>
      </c>
      <c r="F147" t="s">
        <v>158</v>
      </c>
      <c r="G147" t="s">
        <v>69</v>
      </c>
      <c r="H147" t="s">
        <v>70</v>
      </c>
      <c r="I147" t="s">
        <v>1475</v>
      </c>
      <c r="J147" t="s">
        <v>1476</v>
      </c>
      <c r="K147" t="s">
        <v>1477</v>
      </c>
      <c r="L147" t="s">
        <v>1477</v>
      </c>
      <c r="M147" t="s">
        <v>1477</v>
      </c>
      <c r="N147" t="s">
        <v>1478</v>
      </c>
      <c r="O147" t="s">
        <v>77</v>
      </c>
      <c r="P147" s="2">
        <f t="shared" si="4"/>
        <v>24.266666666666666</v>
      </c>
      <c r="Q147" t="s">
        <v>1479</v>
      </c>
      <c r="R147" s="2">
        <f t="shared" si="5"/>
        <v>10.2225</v>
      </c>
      <c r="S147" t="s">
        <v>1480</v>
      </c>
      <c r="T147">
        <v>2</v>
      </c>
      <c r="U147">
        <v>2</v>
      </c>
      <c r="V147" t="s">
        <v>80</v>
      </c>
      <c r="W147" t="s">
        <v>80</v>
      </c>
      <c r="X147" t="s">
        <v>82</v>
      </c>
      <c r="Y147" t="s">
        <v>82</v>
      </c>
      <c r="Z147" t="s">
        <v>82</v>
      </c>
      <c r="AA147" t="s">
        <v>83</v>
      </c>
      <c r="AB147" t="s">
        <v>84</v>
      </c>
      <c r="AC147" t="s">
        <v>82</v>
      </c>
      <c r="AD147" t="s">
        <v>220</v>
      </c>
      <c r="AE147" t="s">
        <v>1481</v>
      </c>
      <c r="AF147" t="s">
        <v>82</v>
      </c>
      <c r="AG147" t="s">
        <v>87</v>
      </c>
      <c r="AH147" t="s">
        <v>1482</v>
      </c>
      <c r="AI147" t="s">
        <v>1090</v>
      </c>
      <c r="AJ147" t="s">
        <v>82</v>
      </c>
      <c r="AK147" t="s">
        <v>82</v>
      </c>
      <c r="AL147" t="s">
        <v>82</v>
      </c>
      <c r="AM147" t="s">
        <v>82</v>
      </c>
      <c r="AN147" t="s">
        <v>169</v>
      </c>
      <c r="AO147" t="s">
        <v>82</v>
      </c>
      <c r="AP147" t="s">
        <v>82</v>
      </c>
      <c r="AQ147" t="s">
        <v>82</v>
      </c>
      <c r="AR147" t="s">
        <v>82</v>
      </c>
      <c r="AS147" t="s">
        <v>88</v>
      </c>
      <c r="AT147" t="s">
        <v>1482</v>
      </c>
      <c r="AU147" t="s">
        <v>6</v>
      </c>
      <c r="AV147" t="s">
        <v>90</v>
      </c>
      <c r="AW147" t="s">
        <v>90</v>
      </c>
      <c r="AX147" t="s">
        <v>82</v>
      </c>
      <c r="AY147" t="s">
        <v>82</v>
      </c>
      <c r="AZ147" t="s">
        <v>90</v>
      </c>
      <c r="BA147" t="s">
        <v>90</v>
      </c>
      <c r="BB147" t="s">
        <v>90</v>
      </c>
      <c r="BC147" t="s">
        <v>90</v>
      </c>
      <c r="BD147" t="s">
        <v>82</v>
      </c>
      <c r="BE147" t="s">
        <v>90</v>
      </c>
      <c r="BF147" t="s">
        <v>82</v>
      </c>
      <c r="BG147" t="s">
        <v>82</v>
      </c>
      <c r="BH147" t="s">
        <v>82</v>
      </c>
      <c r="BI147" t="s">
        <v>82</v>
      </c>
      <c r="BJ147" t="s">
        <v>82</v>
      </c>
      <c r="BK147" t="s">
        <v>82</v>
      </c>
      <c r="BL147" t="s">
        <v>90</v>
      </c>
      <c r="BM147" t="s">
        <v>1483</v>
      </c>
      <c r="BN147" t="s">
        <v>1484</v>
      </c>
    </row>
    <row r="148" spans="1:66" x14ac:dyDescent="0.35">
      <c r="A148">
        <v>207524</v>
      </c>
      <c r="B148" t="s">
        <v>1485</v>
      </c>
      <c r="C148" t="s">
        <v>65</v>
      </c>
      <c r="D148" t="s">
        <v>66</v>
      </c>
      <c r="E148" t="s">
        <v>67</v>
      </c>
      <c r="F148" t="s">
        <v>123</v>
      </c>
      <c r="G148" t="s">
        <v>69</v>
      </c>
      <c r="H148" t="s">
        <v>70</v>
      </c>
      <c r="I148" t="s">
        <v>1486</v>
      </c>
      <c r="J148" t="s">
        <v>1487</v>
      </c>
      <c r="K148" t="s">
        <v>1488</v>
      </c>
      <c r="L148" t="s">
        <v>1488</v>
      </c>
      <c r="M148" t="s">
        <v>1488</v>
      </c>
      <c r="N148" t="s">
        <v>1489</v>
      </c>
      <c r="O148" t="s">
        <v>77</v>
      </c>
      <c r="P148" s="2">
        <f t="shared" si="4"/>
        <v>19.100000000000001</v>
      </c>
      <c r="Q148" t="s">
        <v>1490</v>
      </c>
      <c r="R148" s="2">
        <f t="shared" si="5"/>
        <v>4.1050000000000004</v>
      </c>
      <c r="S148" t="s">
        <v>1491</v>
      </c>
      <c r="T148">
        <v>1</v>
      </c>
      <c r="U148">
        <v>1</v>
      </c>
      <c r="V148" t="s">
        <v>80</v>
      </c>
      <c r="W148" t="s">
        <v>80</v>
      </c>
      <c r="X148" t="s">
        <v>82</v>
      </c>
      <c r="Y148" t="s">
        <v>82</v>
      </c>
      <c r="Z148" t="s">
        <v>82</v>
      </c>
      <c r="AA148" t="s">
        <v>83</v>
      </c>
      <c r="AB148" t="s">
        <v>84</v>
      </c>
      <c r="AC148" t="s">
        <v>82</v>
      </c>
      <c r="AD148" t="s">
        <v>85</v>
      </c>
      <c r="AE148" t="s">
        <v>1492</v>
      </c>
      <c r="AF148" t="s">
        <v>82</v>
      </c>
      <c r="AG148" t="s">
        <v>87</v>
      </c>
      <c r="AH148" t="s">
        <v>1492</v>
      </c>
      <c r="AI148" t="s">
        <v>1090</v>
      </c>
      <c r="AJ148" t="s">
        <v>82</v>
      </c>
      <c r="AK148" t="s">
        <v>82</v>
      </c>
      <c r="AL148" t="s">
        <v>82</v>
      </c>
      <c r="AM148" t="s">
        <v>82</v>
      </c>
      <c r="AN148" t="s">
        <v>82</v>
      </c>
      <c r="AO148" t="s">
        <v>82</v>
      </c>
      <c r="AP148" t="s">
        <v>82</v>
      </c>
      <c r="AQ148" t="s">
        <v>82</v>
      </c>
      <c r="AR148" t="s">
        <v>82</v>
      </c>
      <c r="AS148" t="s">
        <v>130</v>
      </c>
      <c r="AT148" t="s">
        <v>1492</v>
      </c>
      <c r="AU148" t="s">
        <v>6</v>
      </c>
      <c r="AV148" t="s">
        <v>90</v>
      </c>
      <c r="AW148" t="s">
        <v>90</v>
      </c>
      <c r="AX148" t="s">
        <v>82</v>
      </c>
      <c r="AY148" t="s">
        <v>82</v>
      </c>
      <c r="AZ148" t="s">
        <v>90</v>
      </c>
      <c r="BA148" t="s">
        <v>90</v>
      </c>
      <c r="BB148" t="s">
        <v>90</v>
      </c>
      <c r="BC148" t="s">
        <v>90</v>
      </c>
      <c r="BD148" t="s">
        <v>82</v>
      </c>
      <c r="BE148" t="s">
        <v>90</v>
      </c>
      <c r="BF148" t="s">
        <v>82</v>
      </c>
      <c r="BG148" t="s">
        <v>82</v>
      </c>
      <c r="BH148" t="s">
        <v>82</v>
      </c>
      <c r="BI148" t="s">
        <v>82</v>
      </c>
      <c r="BJ148" t="s">
        <v>82</v>
      </c>
      <c r="BK148" t="s">
        <v>82</v>
      </c>
      <c r="BL148" t="s">
        <v>90</v>
      </c>
      <c r="BM148" t="s">
        <v>1493</v>
      </c>
      <c r="BN148" t="s">
        <v>1494</v>
      </c>
    </row>
    <row r="149" spans="1:66" x14ac:dyDescent="0.35">
      <c r="A149">
        <v>207648</v>
      </c>
      <c r="B149" t="s">
        <v>1495</v>
      </c>
      <c r="C149" t="s">
        <v>1496</v>
      </c>
      <c r="D149" t="s">
        <v>150</v>
      </c>
      <c r="E149" t="s">
        <v>67</v>
      </c>
      <c r="F149" t="s">
        <v>82</v>
      </c>
      <c r="G149" t="s">
        <v>69</v>
      </c>
      <c r="H149" t="s">
        <v>70</v>
      </c>
      <c r="I149" t="s">
        <v>1497</v>
      </c>
      <c r="J149" t="s">
        <v>1498</v>
      </c>
      <c r="K149" t="s">
        <v>82</v>
      </c>
      <c r="L149" t="s">
        <v>82</v>
      </c>
      <c r="M149" t="s">
        <v>1499</v>
      </c>
      <c r="N149" t="s">
        <v>1500</v>
      </c>
      <c r="O149" t="s">
        <v>77</v>
      </c>
      <c r="P149" s="2">
        <f t="shared" si="4"/>
        <v>29.85</v>
      </c>
      <c r="Q149" t="s">
        <v>1501</v>
      </c>
      <c r="R149" s="2">
        <f t="shared" si="5"/>
        <v>0</v>
      </c>
      <c r="S149" t="s">
        <v>78</v>
      </c>
      <c r="T149">
        <v>7</v>
      </c>
      <c r="U149">
        <v>7</v>
      </c>
      <c r="V149" t="s">
        <v>82</v>
      </c>
      <c r="W149" t="s">
        <v>80</v>
      </c>
      <c r="X149" t="s">
        <v>1502</v>
      </c>
      <c r="Y149" t="s">
        <v>82</v>
      </c>
      <c r="Z149" t="s">
        <v>82</v>
      </c>
      <c r="AA149" t="s">
        <v>83</v>
      </c>
      <c r="AB149" t="s">
        <v>84</v>
      </c>
      <c r="AC149" t="s">
        <v>82</v>
      </c>
      <c r="AD149" t="s">
        <v>85</v>
      </c>
      <c r="AE149" t="s">
        <v>1318</v>
      </c>
      <c r="AF149" t="s">
        <v>82</v>
      </c>
      <c r="AG149" t="s">
        <v>87</v>
      </c>
      <c r="AH149" t="s">
        <v>1318</v>
      </c>
      <c r="AI149" t="s">
        <v>1503</v>
      </c>
      <c r="AJ149" t="s">
        <v>82</v>
      </c>
      <c r="AK149" t="s">
        <v>82</v>
      </c>
      <c r="AL149" t="s">
        <v>82</v>
      </c>
      <c r="AM149" t="s">
        <v>82</v>
      </c>
      <c r="AN149" t="s">
        <v>82</v>
      </c>
      <c r="AO149" t="s">
        <v>82</v>
      </c>
      <c r="AP149" t="s">
        <v>82</v>
      </c>
      <c r="AQ149" t="s">
        <v>82</v>
      </c>
      <c r="AR149" t="s">
        <v>82</v>
      </c>
      <c r="AS149" t="s">
        <v>88</v>
      </c>
      <c r="AT149" t="s">
        <v>1504</v>
      </c>
      <c r="AU149" t="s">
        <v>6</v>
      </c>
      <c r="AV149" t="s">
        <v>90</v>
      </c>
      <c r="AW149" t="s">
        <v>90</v>
      </c>
      <c r="AX149" t="s">
        <v>82</v>
      </c>
      <c r="AY149" t="s">
        <v>82</v>
      </c>
      <c r="AZ149" t="s">
        <v>90</v>
      </c>
      <c r="BA149" t="s">
        <v>90</v>
      </c>
      <c r="BB149" t="s">
        <v>90</v>
      </c>
      <c r="BC149" t="s">
        <v>90</v>
      </c>
      <c r="BD149" t="s">
        <v>82</v>
      </c>
      <c r="BE149" t="s">
        <v>90</v>
      </c>
      <c r="BF149" t="s">
        <v>82</v>
      </c>
      <c r="BG149" t="s">
        <v>82</v>
      </c>
      <c r="BH149" t="s">
        <v>82</v>
      </c>
      <c r="BI149" t="s">
        <v>82</v>
      </c>
      <c r="BJ149" t="s">
        <v>82</v>
      </c>
      <c r="BK149" t="s">
        <v>82</v>
      </c>
      <c r="BL149" t="s">
        <v>90</v>
      </c>
      <c r="BM149" t="s">
        <v>1277</v>
      </c>
      <c r="BN149" t="s">
        <v>1278</v>
      </c>
    </row>
    <row r="150" spans="1:66" x14ac:dyDescent="0.35">
      <c r="A150">
        <v>207873</v>
      </c>
      <c r="B150" t="s">
        <v>301</v>
      </c>
      <c r="C150" t="s">
        <v>65</v>
      </c>
      <c r="D150" t="s">
        <v>66</v>
      </c>
      <c r="E150" t="s">
        <v>67</v>
      </c>
      <c r="F150" t="s">
        <v>123</v>
      </c>
      <c r="G150" t="s">
        <v>69</v>
      </c>
      <c r="H150" t="s">
        <v>70</v>
      </c>
      <c r="I150" t="s">
        <v>1505</v>
      </c>
      <c r="J150" t="s">
        <v>1506</v>
      </c>
      <c r="K150" t="s">
        <v>1507</v>
      </c>
      <c r="L150" t="s">
        <v>1507</v>
      </c>
      <c r="M150" t="s">
        <v>1507</v>
      </c>
      <c r="N150" t="s">
        <v>82</v>
      </c>
      <c r="O150" t="s">
        <v>77</v>
      </c>
      <c r="P150" s="2">
        <f t="shared" si="4"/>
        <v>0</v>
      </c>
      <c r="Q150" t="s">
        <v>78</v>
      </c>
      <c r="R150" s="2">
        <f t="shared" si="5"/>
        <v>1.8611111111111113E-2</v>
      </c>
      <c r="S150" t="s">
        <v>1508</v>
      </c>
      <c r="T150">
        <v>0</v>
      </c>
      <c r="U150">
        <v>1</v>
      </c>
      <c r="V150" t="s">
        <v>80</v>
      </c>
      <c r="W150" t="s">
        <v>82</v>
      </c>
      <c r="X150" t="s">
        <v>82</v>
      </c>
      <c r="Y150" t="s">
        <v>82</v>
      </c>
      <c r="Z150" t="s">
        <v>82</v>
      </c>
      <c r="AA150" t="s">
        <v>83</v>
      </c>
      <c r="AB150" t="s">
        <v>84</v>
      </c>
      <c r="AC150" t="s">
        <v>82</v>
      </c>
      <c r="AD150" t="s">
        <v>85</v>
      </c>
      <c r="AE150" t="s">
        <v>82</v>
      </c>
      <c r="AF150" t="s">
        <v>82</v>
      </c>
      <c r="AG150" t="s">
        <v>87</v>
      </c>
      <c r="AH150" t="s">
        <v>82</v>
      </c>
      <c r="AI150" t="s">
        <v>129</v>
      </c>
      <c r="AJ150" t="s">
        <v>82</v>
      </c>
      <c r="AK150" t="s">
        <v>82</v>
      </c>
      <c r="AL150" t="s">
        <v>82</v>
      </c>
      <c r="AM150" t="s">
        <v>82</v>
      </c>
      <c r="AN150" t="s">
        <v>82</v>
      </c>
      <c r="AO150" t="s">
        <v>82</v>
      </c>
      <c r="AP150" t="s">
        <v>82</v>
      </c>
      <c r="AQ150" t="s">
        <v>82</v>
      </c>
      <c r="AR150" t="s">
        <v>82</v>
      </c>
      <c r="AS150" t="s">
        <v>130</v>
      </c>
      <c r="AT150" t="s">
        <v>129</v>
      </c>
      <c r="AU150" t="s">
        <v>82</v>
      </c>
      <c r="AV150" t="s">
        <v>90</v>
      </c>
      <c r="AW150" t="s">
        <v>90</v>
      </c>
      <c r="AX150" t="s">
        <v>82</v>
      </c>
      <c r="AY150" t="s">
        <v>82</v>
      </c>
      <c r="AZ150" t="s">
        <v>90</v>
      </c>
      <c r="BA150" t="s">
        <v>90</v>
      </c>
      <c r="BB150" t="s">
        <v>90</v>
      </c>
      <c r="BC150" t="s">
        <v>90</v>
      </c>
      <c r="BD150" t="s">
        <v>82</v>
      </c>
      <c r="BE150" t="s">
        <v>90</v>
      </c>
      <c r="BF150" t="s">
        <v>82</v>
      </c>
      <c r="BG150" t="s">
        <v>82</v>
      </c>
      <c r="BH150" t="s">
        <v>82</v>
      </c>
      <c r="BI150" t="s">
        <v>82</v>
      </c>
      <c r="BJ150" t="s">
        <v>82</v>
      </c>
      <c r="BK150" t="s">
        <v>82</v>
      </c>
      <c r="BL150" t="s">
        <v>90</v>
      </c>
      <c r="BM150" t="s">
        <v>139</v>
      </c>
      <c r="BN150" t="s">
        <v>1509</v>
      </c>
    </row>
    <row r="151" spans="1:66" x14ac:dyDescent="0.35">
      <c r="A151">
        <v>207907</v>
      </c>
      <c r="B151" t="s">
        <v>301</v>
      </c>
      <c r="C151" t="s">
        <v>65</v>
      </c>
      <c r="D151" t="s">
        <v>66</v>
      </c>
      <c r="E151" t="s">
        <v>67</v>
      </c>
      <c r="F151" t="s">
        <v>123</v>
      </c>
      <c r="G151" t="s">
        <v>69</v>
      </c>
      <c r="H151" t="s">
        <v>70</v>
      </c>
      <c r="I151" t="s">
        <v>1510</v>
      </c>
      <c r="J151" t="s">
        <v>1511</v>
      </c>
      <c r="K151" t="s">
        <v>1512</v>
      </c>
      <c r="L151" t="s">
        <v>1512</v>
      </c>
      <c r="M151" t="s">
        <v>1512</v>
      </c>
      <c r="N151" t="s">
        <v>82</v>
      </c>
      <c r="O151" t="s">
        <v>77</v>
      </c>
      <c r="P151" s="2">
        <f t="shared" si="4"/>
        <v>0</v>
      </c>
      <c r="Q151" t="s">
        <v>78</v>
      </c>
      <c r="R151" s="2">
        <f t="shared" si="5"/>
        <v>0.14444444444444443</v>
      </c>
      <c r="S151" t="s">
        <v>1513</v>
      </c>
      <c r="T151">
        <v>0</v>
      </c>
      <c r="U151">
        <v>1</v>
      </c>
      <c r="V151" t="s">
        <v>80</v>
      </c>
      <c r="W151" t="s">
        <v>82</v>
      </c>
      <c r="X151" t="s">
        <v>82</v>
      </c>
      <c r="Y151" t="s">
        <v>82</v>
      </c>
      <c r="Z151" t="s">
        <v>82</v>
      </c>
      <c r="AA151" t="s">
        <v>83</v>
      </c>
      <c r="AB151" t="s">
        <v>84</v>
      </c>
      <c r="AC151" t="s">
        <v>82</v>
      </c>
      <c r="AD151" t="s">
        <v>85</v>
      </c>
      <c r="AE151" t="s">
        <v>82</v>
      </c>
      <c r="AF151" t="s">
        <v>82</v>
      </c>
      <c r="AG151" t="s">
        <v>87</v>
      </c>
      <c r="AH151" t="s">
        <v>82</v>
      </c>
      <c r="AI151" t="s">
        <v>129</v>
      </c>
      <c r="AJ151" t="s">
        <v>82</v>
      </c>
      <c r="AK151" t="s">
        <v>82</v>
      </c>
      <c r="AL151" t="s">
        <v>82</v>
      </c>
      <c r="AM151" t="s">
        <v>82</v>
      </c>
      <c r="AN151" t="s">
        <v>82</v>
      </c>
      <c r="AO151" t="s">
        <v>82</v>
      </c>
      <c r="AP151" t="s">
        <v>82</v>
      </c>
      <c r="AQ151" t="s">
        <v>82</v>
      </c>
      <c r="AR151" t="s">
        <v>82</v>
      </c>
      <c r="AS151" t="s">
        <v>130</v>
      </c>
      <c r="AT151" t="s">
        <v>129</v>
      </c>
      <c r="AU151" t="s">
        <v>82</v>
      </c>
      <c r="AV151" t="s">
        <v>90</v>
      </c>
      <c r="AW151" t="s">
        <v>90</v>
      </c>
      <c r="AX151" t="s">
        <v>82</v>
      </c>
      <c r="AY151" t="s">
        <v>82</v>
      </c>
      <c r="AZ151" t="s">
        <v>90</v>
      </c>
      <c r="BA151" t="s">
        <v>90</v>
      </c>
      <c r="BB151" t="s">
        <v>90</v>
      </c>
      <c r="BC151" t="s">
        <v>90</v>
      </c>
      <c r="BD151" t="s">
        <v>82</v>
      </c>
      <c r="BE151" t="s">
        <v>90</v>
      </c>
      <c r="BF151" t="s">
        <v>82</v>
      </c>
      <c r="BG151" t="s">
        <v>82</v>
      </c>
      <c r="BH151" t="s">
        <v>82</v>
      </c>
      <c r="BI151" t="s">
        <v>82</v>
      </c>
      <c r="BJ151" t="s">
        <v>82</v>
      </c>
      <c r="BK151" t="s">
        <v>82</v>
      </c>
      <c r="BL151" t="s">
        <v>90</v>
      </c>
      <c r="BM151" t="s">
        <v>139</v>
      </c>
      <c r="BN151" t="s">
        <v>1514</v>
      </c>
    </row>
    <row r="152" spans="1:66" x14ac:dyDescent="0.35">
      <c r="P152"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Adhikary</dc:creator>
  <cp:lastModifiedBy>Amit Adhikary</cp:lastModifiedBy>
  <dcterms:created xsi:type="dcterms:W3CDTF">2026-03-26T04:41:43Z</dcterms:created>
  <dcterms:modified xsi:type="dcterms:W3CDTF">2026-03-26T07:08:16Z</dcterms:modified>
</cp:coreProperties>
</file>